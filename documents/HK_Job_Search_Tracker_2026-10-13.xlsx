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403e7c91cd42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申请追踪" sheetId="1" r:id="R456bd086d63e4a9c"/>
    <x:sheet xmlns:r="http://schemas.openxmlformats.org/officeDocument/2006/relationships" name="雇主与岗位" sheetId="2" r:id="R66ca903db6294354"/>
    <x:sheet xmlns:r="http://schemas.openxmlformats.org/officeDocument/2006/relationships" name="定位与行动" sheetId="3" r:id="Rbc3fa47074e5465f"/>
    <x:sheet xmlns:r="http://schemas.openxmlformats.org/officeDocument/2006/relationships" name="OOCL申请指南" sheetId="4" r:id="R237644944acf40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14">
    <x:font>
      <x:sz val="11"/>
      <x:name val="Carlito"/>
    </x:font>
    <x:font>
      <x:sz val="11"/>
      <x:color rgb="FF243447"/>
      <x:name val="Noto Sans CJK SC"/>
    </x:font>
    <x:font>
      <x:b/>
      <x:sz val="16"/>
      <x:color rgb="FF23364D"/>
      <x:name val="Noto Sans CJK SC"/>
    </x:font>
    <x:font>
      <x:b/>
      <x:sz val="16"/>
      <x:color rgb="FF245D9C"/>
      <x:name val="Noto Sans CJK SC"/>
    </x:font>
    <x:font>
      <x:b/>
      <x:sz val="11"/>
      <x:color rgb="FFFFFFFF"/>
      <x:name val="Noto Sans CJK SC"/>
    </x:font>
    <x:font>
      <x:sz val="11"/>
      <x:color rgb="FF245D9C"/>
      <x:name val="Noto Sans CJK SC"/>
    </x:font>
    <x:font>
      <x:sz val="10"/>
      <x:name val="Noto Sans CJK SC"/>
    </x:font>
    <x:font>
      <x:sz val="10"/>
      <x:color rgb="FF2266AA"/>
      <x:name val="Noto Sans CJK SC"/>
    </x:font>
    <x:font>
      <x:b/>
      <x:sz val="16"/>
      <x:color rgb="FF2266AA"/>
      <x:name val="Noto Sans CJK SC"/>
    </x:font>
    <x:font>
      <x:sz val="10"/>
      <x:color rgb="FF243447"/>
      <x:name val="Noto Sans CJK SC"/>
    </x:font>
    <x:font>
      <x:sz val="10"/>
      <x:color rgb="FF245D9C"/>
      <x:name val="Noto Sans CJK SC"/>
    </x:font>
    <x:font>
      <x:sz val="11"/>
      <x:color rgb="FF213547"/>
      <x:name val="Noto Sans CJK SC"/>
    </x:font>
    <x:font>
      <x:b/>
      <x:sz val="18"/>
      <x:color rgb="FFFFFFFF"/>
      <x:name val="Noto Sans CJK SC"/>
    </x:font>
    <x:font>
      <x:sz val="11"/>
      <x:color rgb="FFFFFFFF"/>
      <x:name val="Noto Sans CJK SC"/>
    </x:font>
  </x:fonts>
  <x:fills count="6">
    <x:fill>
      <x:patternFill patternType="none"/>
    </x:fill>
    <x:fill>
      <x:patternFill patternType="gray125"/>
    </x:fill>
    <x:fill>
      <x:patternFill patternType="solid">
        <x:fgColor rgb="FFFFF3CE"/>
      </x:patternFill>
    </x:fill>
    <x:fill>
      <x:patternFill patternType="solid">
        <x:fgColor rgb="FF23364D"/>
      </x:patternFill>
    </x:fill>
    <x:fill>
      <x:patternFill patternType="solid">
        <x:fgColor rgb="FF213547"/>
      </x:patternFill>
    </x:fill>
    <x:fill>
      <x:patternFill patternType="solid">
        <x:fgColor rgb="FFE8F4F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200" fontId="6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1"/>
    </x:xf>
    <x:xf numFmtId="200" fontId="6" fillId="0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vertical="center" wrapText="1"/>
    </x:xf>
    <x:xf numFmtId="200" fontId="9" fillId="0" borderId="0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 applyAlignment="1">
      <x:alignment vertical="center" wrapText="1"/>
    </x:xf>
    <x:xf numFmtId="201" fontId="9" fillId="0" borderId="0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/>
    <x:xf numFmtId="0" fontId="11" fillId="0" borderId="0" xfId="0" applyNumberFormat="1" applyFont="1" applyFill="1" applyBorder="1" applyAlignment="1">
      <x:alignment wrapText="1"/>
    </x:xf>
    <x:xf numFmtId="0" fontId="11" fillId="0" borderId="0" xfId="0" applyNumberFormat="1" applyFont="1" applyFill="1" applyBorder="1" applyAlignment="1">
      <x:alignment vertical="center" wrapText="1"/>
    </x:xf>
    <x:xf numFmtId="0" fontId="11" fillId="4" borderId="0" xfId="0" applyNumberFormat="1" applyFont="1" applyFill="1" applyBorder="1" applyAlignment="1">
      <x:alignment vertical="center" wrapText="1"/>
    </x:xf>
    <x:xf numFmtId="0" fontId="12" fillId="4" borderId="0" xfId="0" applyNumberFormat="1" applyFont="1" applyFill="1" applyBorder="1" applyAlignment="1">
      <x:alignment vertical="center" wrapText="1"/>
    </x:xf>
    <x:xf numFmtId="0" fontId="13" fillId="4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11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">
    <x:dxf>
      <x:font>
        <x:b/>
        <x:color rgb="FF236230"/>
      </x:font>
      <x:fill>
        <x:patternFill>
          <x:bgColor rgb="FFDCEEDC"/>
        </x:patternFill>
      </x:fill>
    </x:dxf>
    <x:dxf>
      <x:font>
        <x:b/>
        <x:color rgb="FF9C3C16"/>
      </x:font>
      <x:fill>
        <x:patternFill>
          <x:bgColor rgb="FFFCE4D6"/>
        </x:patternFill>
      </x:fill>
    </x:dxf>
    <x:dxf>
      <x:font>
        <x:color rgb="FFA63226"/>
      </x:font>
      <x:fill>
        <x:patternFill>
          <x:bgColor rgb="FFFCE4D6"/>
        </x:patternFill>
      </x:fill>
    </x:dxf>
    <x:dxf>
      <x:font>
        <x:b/>
        <x:color rgb="FFA63226"/>
      </x:font>
      <x:fill>
        <x:patternFill>
          <x:bgColor rgb="FFFCE4D6"/>
        </x:patternFill>
      </x:fill>
    </x:dxf>
    <x:dxf>
      <x:font>
        <x:color rgb="FF64748B"/>
      </x:font>
      <x:fill>
        <x:patternFill>
          <x:bgColor rgb="FFE5E7EB"/>
        </x:patternFill>
      </x:fill>
    </x:dxf>
    <x:dxf>
      <x:font>
        <x:color rgb="FF64748B"/>
      </x:font>
      <x:fill>
        <x:patternFill>
          <x:bgColor rgb="FFE5E7E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ac4e047a59410b" /><Relationship Type="http://schemas.openxmlformats.org/officeDocument/2006/relationships/theme" Target="/xl/theme/theme1.xml" Id="Ra00e7606424b4270" /><Relationship Type="http://schemas.openxmlformats.org/officeDocument/2006/relationships/sharedStrings" Target="/xl/sharedStrings.xml" Id="Rca535feab3e547ce" /><Relationship Type="http://schemas.openxmlformats.org/officeDocument/2006/relationships/worksheet" Target="/xl/worksheets/sheet1.xml" Id="R456bd086d63e4a9c" /><Relationship Type="http://schemas.openxmlformats.org/officeDocument/2006/relationships/worksheet" Target="/xl/worksheets/sheet2.xml" Id="R66ca903db6294354" /><Relationship Type="http://schemas.openxmlformats.org/officeDocument/2006/relationships/worksheet" Target="/xl/worksheets/sheet3.xml" Id="Rbc3fa47074e5465f" /><Relationship Type="http://schemas.openxmlformats.org/officeDocument/2006/relationships/worksheet" Target="/xl/worksheets/sheet4.xml" Id="R237644944acf4004" /></Relationships>
</file>

<file path=xl/tables/table1.xml><?xml version="1.0" encoding="utf-8"?>
<x:table xmlns:x="http://schemas.openxmlformats.org/spreadsheetml/2006/main" id="1" name="Applications" displayName="Applications" ref="A9:Q69" headerRowCount="1" totalsRowCount="0" totalsRowShown="0">
  <x:tableColumns count="17">
    <x:tableColumn id="1" name="申请ID"/>
    <x:tableColumn id="2" name="公司"/>
    <x:tableColumn id="3" name="岗位/项目"/>
    <x:tableColumn id="4" name="优先级"/>
    <x:tableColumn id="5" name="当前状态"/>
    <x:tableColumn id="6" name="投递日期"/>
    <x:tableColumn id="7" name="最近进展日期"/>
    <x:tableColumn id="8" name="测试截止日"/>
    <x:tableColumn id="9" name="下次行动日期"/>
    <x:tableColumn id="10" name="下一步行动"/>
    <x:tableColumn id="11" name="岗位编号"/>
    <x:tableColumn id="12" name="简历版本"/>
    <x:tableColumn id="13" name="联系人/渠道"/>
    <x:tableColumn id="14" name="事实及待补信息"/>
    <x:tableColumn id="15" name="等待天数"/>
    <x:tableColumn id="16" name="行动提醒"/>
    <x:tableColumn id="17" name="岗位/来源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rgets" displayName="Targets" ref="A9:Q113" headerRowCount="1" totalsRowCount="0" totalsRowShown="0">
  <x:tableColumns count="17">
    <x:tableColumn id="1" name="目标ID"/>
    <x:tableColumn id="2" name="公司/机构"/>
    <x:tableColumn id="3" name="行业"/>
    <x:tableColumn id="4" name="目标岗位或项目"/>
    <x:tableColumn id="5" name="方向"/>
    <x:tableColumn id="6" name="行动序号 / 推荐度"/>
    <x:tableColumn id="7" name="核验结果"/>
    <x:tableColumn id="8" name="截止日期"/>
    <x:tableColumn id="9" name="截止依据"/>
    <x:tableColumn id="10" name="资格与限制"/>
    <x:tableColumn id="11" name="预计入职"/>
    <x:tableColumn id="12" name="建议下一步"/>
    <x:tableColumn id="13" name="岗位/来源"/>
    <x:tableColumn id="14" name="岗位编号"/>
    <x:tableColumn id="15" name="补充事实/第二来源"/>
    <x:tableColumn id="16" name="距截止天数"/>
    <x:tableColumn id="17" name="核验日期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76512c5eb41462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932c83902e74190" /></Relationships>
</file>

<file path=xl/worksheets/sheet1.xml><?xml version="1.0" encoding="utf-8"?>
<x:worksheet xmlns:x="http://schemas.openxmlformats.org/spreadsheetml/2006/main">
  <x:sheetPr>
    <x:tabColor rgb="FF23364D"/>
  </x:sheetPr>
  <x:sheetViews>
    <x:sheetView showGridLines="0" workbookViewId="0">
      <x:pane xSplit="2" ySplit="9" topLeftCell="C10" activePane="bottomRight" state="frozen"/>
    </x:sheetView>
  </x:sheetViews>
  <x:sheetFormatPr defaultRowHeight="15"/>
  <x:cols>
    <x:col min="1" max="1" width="12" hidden="0" customWidth="1"/>
    <x:col min="2" max="2" width="26" hidden="0" customWidth="1"/>
    <x:col min="3" max="3" width="43" hidden="0" customWidth="1"/>
    <x:col min="4" max="4" width="19" hidden="0" customWidth="1"/>
    <x:col min="5" max="5" width="19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49" hidden="0" customWidth="1"/>
    <x:col min="11" max="11" width="26" hidden="0" customWidth="1"/>
    <x:col min="12" max="12" width="17" hidden="0" customWidth="1"/>
    <x:col min="13" max="13" width="24" hidden="0" customWidth="1"/>
    <x:col min="14" max="14" width="55" hidden="0" customWidth="1"/>
    <x:col min="15" max="15" width="20" hidden="0" customWidth="1"/>
    <x:col min="16" max="16" width="16" hidden="0" customWidth="1"/>
    <x:col min="17" max="17" width="8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28" customHeight="1">
      <x:c r="A2" s="3" t="str">
        <x:v>香港求职申请追踪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 ht="26" customHeight="1">
      <x:c r="A3" s="2" t="str">
        <x:v>基准日</x:v>
      </x:c>
      <x:c r="B3" s="5" t="d">
        <x:v>2026-10-13T00:00:00.000Z</x:v>
      </x:c>
      <x:c r="C3" s="2"/>
      <x:c r="D3" s="2" t="str">
        <x:v>截至2026-10-13：本轮扩展AI/Agent候选池；个人申请进度仍按10/11最后报告，未推定新投递或回复。</x:v>
      </x:c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>
      <x:c r="A4" s="2" t="str">
        <x:v>已提交申请</x:v>
      </x:c>
      <x:c r="B4" s="2"/>
      <x:c r="C4" s="2"/>
      <x:c r="D4" s="2" t="str">
        <x:v>测试已完成</x:v>
      </x:c>
      <x:c r="E4" s="2"/>
      <x:c r="F4" s="2"/>
      <x:c r="G4" s="2" t="str">
        <x:v>已获面试通知</x:v>
      </x:c>
      <x:c r="H4" s="2"/>
      <x:c r="I4" s="2"/>
      <x:c r="J4" s="2" t="str">
        <x:v>待投申请</x:v>
      </x:c>
      <x:c r="K4" s="2"/>
      <x:c r="L4" s="2"/>
      <x:c r="M4" s="2" t="str">
        <x:v>明确不投</x:v>
      </x:c>
      <x:c r="N4" s="2"/>
      <x:c r="O4" s="2"/>
      <x:c r="P4" s="2"/>
      <x:c r="Q4" s="2"/>
    </x:row>
    <x:row r="5">
      <x:c r="A5" s="6" t="n">
        <x:f>COUNTIF(E10:E69,"已投无回复")+COUNTIF(E10:E69,"测试完成待结果")+COUNTIF(E10:E69,"面试中")+COUNTIF(E10:E69,"Offer")+COUNTIF(E10:E69,"拒绝")+COUNTIF(E10:E69,"撤回")</x:f>
        <x:v>6</x:v>
      </x:c>
      <x:c r="B5" s="2"/>
      <x:c r="C5" s="2"/>
      <x:c r="D5" s="6" t="n">
        <x:f>COUNTIFS(E10:E69,"测试完成待结果")</x:f>
        <x:v>2</x:v>
      </x:c>
      <x:c r="E5" s="2"/>
      <x:c r="F5" s="2"/>
      <x:c r="G5" s="6" t="n">
        <x:f>COUNTIFS(E10:E69,"面试中")+COUNTIFS(E10:E69,"Offer")</x:f>
        <x:v>0</x:v>
      </x:c>
      <x:c r="H5" s="2"/>
      <x:c r="I5" s="2"/>
      <x:c r="J5" s="6" t="n">
        <x:f>COUNTIFS(E10:E69,"待投")</x:f>
        <x:v>4</x:v>
      </x:c>
      <x:c r="K5" s="2"/>
      <x:c r="L5" s="2"/>
      <x:c r="M5" s="23" t="n">
        <x:f>COUNTIF(E10:E69,"不投")</x:f>
        <x:v>3</x:v>
      </x:c>
      <x:c r="N5" s="2"/>
      <x:c r="O5" s="2"/>
      <x:c r="P5" s="2"/>
      <x:c r="Q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</x:row>
    <x:row r="7">
      <x:c r="A7" s="2" t="str">
        <x:v>使用：每个岗位一行。黄色为可更新字段；日期未知留空。已核实的项目日期不自动套用到你尚未确认的申请。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</x:row>
    <x:row r="8">
      <x:c r="A8" s="2" t="str">
        <x:v>已投6家；2家测试完成。新申请的完整优先顺序见“雇主与岗位”F列；本页记录个人进度。实际提交日未知时留空。</x:v>
      </x:c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</x:row>
    <x:row r="9" ht="32" customHeight="1">
      <x:c r="A9" s="10" t="str">
        <x:v>申请ID</x:v>
      </x:c>
      <x:c r="B9" s="10" t="str">
        <x:v>公司</x:v>
      </x:c>
      <x:c r="C9" s="10" t="str">
        <x:v>岗位/项目</x:v>
      </x:c>
      <x:c r="D9" s="10" t="str">
        <x:v>优先级</x:v>
      </x:c>
      <x:c r="E9" s="10" t="str">
        <x:v>当前状态</x:v>
      </x:c>
      <x:c r="F9" s="10" t="str">
        <x:v>投递日期</x:v>
      </x:c>
      <x:c r="G9" s="10" t="str">
        <x:v>最近进展日期</x:v>
      </x:c>
      <x:c r="H9" s="10" t="str">
        <x:v>测试截止日</x:v>
      </x:c>
      <x:c r="I9" s="10" t="str">
        <x:v>下次行动日期</x:v>
      </x:c>
      <x:c r="J9" s="10" t="str">
        <x:v>下一步行动</x:v>
      </x:c>
      <x:c r="K9" s="10" t="str">
        <x:v>岗位编号</x:v>
      </x:c>
      <x:c r="L9" s="10" t="str">
        <x:v>简历版本</x:v>
      </x:c>
      <x:c r="M9" s="10" t="str">
        <x:v>联系人/渠道</x:v>
      </x:c>
      <x:c r="N9" s="10" t="str">
        <x:v>事实及待补信息</x:v>
      </x:c>
      <x:c r="O9" s="10" t="str">
        <x:v>距上次进展(天)</x:v>
      </x:c>
      <x:c r="P9" s="10" t="str">
        <x:v>行动提醒</x:v>
      </x:c>
      <x:c r="Q9" s="10" t="str">
        <x:v>岗位/来源</x:v>
      </x:c>
    </x:row>
    <x:row r="10" ht="90" customHeight="1">
      <x:c r="A10" s="11" t="str">
        <x:v>A001</x:v>
      </x:c>
      <x:c r="B10" s="11" t="str">
        <x:v>ASTRI</x:v>
      </x:c>
      <x:c r="C10" s="11" t="str">
        <x:v>待补原申请职位</x:v>
      </x:c>
      <x:c r="D10" s="11" t="str">
        <x:v>P1 跟进</x:v>
      </x:c>
      <x:c r="E10" s="12" t="str">
        <x:v>已投无回复</x:v>
      </x:c>
      <x:c r="F10" s="13"/>
      <x:c r="G10" s="13"/>
      <x:c r="H10" s="13"/>
      <x:c r="I10" s="13" t="d">
        <x:v>2026-10-10T00:00:00.000Z</x:v>
      </x:c>
      <x:c r="J10" s="12" t="str">
        <x:v>补投递日期、岗位编号；确认是否需要毕业后立即入职</x:v>
      </x:c>
      <x:c r="K10" s="12"/>
      <x:c r="L10" s="12"/>
      <x:c r="M10" s="12" t="str">
        <x:v>待补</x:v>
      </x:c>
      <x:c r="N10" s="12" t="str">
        <x:v>用户：无回复。原岗位未知，不假定为名单中多模态岗位。</x:v>
      </x:c>
      <x:c r="O10" s="18" t="str">
        <x:f>IF(OR(B10="",E10="待投",E10="待核实",E10="已截止",E10="不投",E10="暂缓",E10="Offer",E10="拒绝",E10="撤回"),"",IF(G10&lt;&gt;"",$B$3-G10,IF(F10&lt;&gt;"",$B$3-F10,"待补日期")))</x:f>
        <x:v>待补日期</x:v>
      </x:c>
      <x:c r="P10" s="11" t="str">
        <x:f>IF(B10="","",IF(OR(E10="不投",E10="暂缓"),"不提醒",IF(OR(E10="Offer",E10="拒绝",E10="撤回",E10="已截止"),"已结束",IF(I10="","待设日期",IF(I10&lt;=$B$3,"需处理","已排期")))))</x:f>
        <x:v>需处理</x:v>
      </x:c>
      <x:c r="Q10" s="11"/>
    </x:row>
    <x:row r="11" ht="90" customHeight="1">
      <x:c r="A11" s="11" t="str">
        <x:v>A002</x:v>
      </x:c>
      <x:c r="B11" s="11" t="str">
        <x:v>HSBC</x:v>
      </x:c>
      <x:c r="C11" s="11" t="str">
        <x:v>待补项目与方向</x:v>
      </x:c>
      <x:c r="D11" s="11" t="str">
        <x:v>P1 跟进</x:v>
      </x:c>
      <x:c r="E11" s="12" t="str">
        <x:v>测试完成待结果</x:v>
      </x:c>
      <x:c r="F11" s="13"/>
      <x:c r="G11" s="13"/>
      <x:c r="H11" s="13"/>
      <x:c r="I11" s="13" t="d">
        <x:v>2026-10-10T00:00:00.000Z</x:v>
      </x:c>
      <x:c r="J11" s="12" t="str">
        <x:v>确认OT及笔试提交成功；记录完成日，准备后续面试</x:v>
      </x:c>
      <x:c r="K11" s="12"/>
      <x:c r="L11" s="12"/>
      <x:c r="M11" s="12" t="str">
        <x:v>候选人门户</x:v>
      </x:c>
      <x:c r="N11" s="12" t="str">
        <x:v>用户：OT+笔试完。没有证据表明已通过测试或收到面试。</x:v>
      </x:c>
      <x:c r="O11" s="18" t="str">
        <x:f>IF(OR(B11="",E11="待投",E11="待核实",E11="已截止",E11="不投",E11="暂缓",E11="Offer",E11="拒绝",E11="撤回"),"",IF(G11&lt;&gt;"",$B$3-G11,IF(F11&lt;&gt;"",$B$3-F11,"待补日期")))</x:f>
        <x:v>待补日期</x:v>
      </x:c>
      <x:c r="P11" s="11" t="str">
        <x:f>IF(B11="","",IF(OR(E11="不投",E11="暂缓"),"不提醒",IF(OR(E11="Offer",E11="拒绝",E11="撤回",E11="已截止"),"已结束",IF(I11="","待设日期",IF(I11&lt;=$B$3,"需处理","已排期")))))</x:f>
        <x:v>需处理</x:v>
      </x:c>
      <x:c r="Q11" s="11"/>
    </x:row>
    <x:row r="12" ht="90" customHeight="1">
      <x:c r="A12" s="11" t="str">
        <x:v>A003</x:v>
      </x:c>
      <x:c r="B12" s="11" t="str">
        <x:v>UBS</x:v>
      </x:c>
      <x:c r="C12" s="11" t="str">
        <x:v>已投岗位待补</x:v>
      </x:c>
      <x:c r="D12" s="11" t="str">
        <x:v>P1 跟进</x:v>
      </x:c>
      <x:c r="E12" s="12" t="str">
        <x:v>测试完成待结果</x:v>
      </x:c>
      <x:c r="F12" s="13"/>
      <x:c r="G12" s="13"/>
      <x:c r="H12" s="13"/>
      <x:c r="I12" s="13" t="d">
        <x:v>2026-10-10T00:00:00.000Z</x:v>
      </x:c>
      <x:c r="J12" s="12" t="str">
        <x:v>补岗位名称、投递日期及测试完成日期；查看后续通知</x:v>
      </x:c>
      <x:c r="K12" s="12"/>
      <x:c r="L12" s="12"/>
      <x:c r="M12" s="12" t="str">
        <x:v>待补</x:v>
      </x:c>
      <x:c r="N12" s="12" t="str">
        <x:v>2026-10-11用户确认原UBC就是UBS；笔试完成待结果。未确认具体岗位及测试日期。</x:v>
      </x:c>
      <x:c r="O12" s="18" t="str">
        <x:f>IF(OR(B12="",E12="待投",E12="待核实",E12="已截止",E12="不投",E12="暂缓",E12="Offer",E12="拒绝",E12="撤回"),"",IF(G12&lt;&gt;"",$B$3-G12,IF(F12&lt;&gt;"",$B$3-F12,"待补日期")))</x:f>
        <x:v>待补日期</x:v>
      </x:c>
      <x:c r="P12" s="11" t="str">
        <x:f>IF(B12="","",IF(OR(E12="不投",E12="暂缓"),"不提醒",IF(OR(E12="Offer",E12="拒绝",E12="撤回",E12="已截止"),"已结束",IF(I12="","待设日期",IF(I12&lt;=$B$3,"需处理","已排期")))))</x:f>
        <x:v>需处理</x:v>
      </x:c>
      <x:c r="Q12" s="11"/>
    </x:row>
    <x:row r="13" ht="90" customHeight="1">
      <x:c r="A13" s="11" t="str">
        <x:v>A004</x:v>
      </x:c>
      <x:c r="B13" s="11" t="str">
        <x:v>HKEX</x:v>
      </x:c>
      <x:c r="C13" s="11" t="str">
        <x:v>待补原申请项目及方向</x:v>
      </x:c>
      <x:c r="D13" s="11" t="str">
        <x:v>P1 跟进</x:v>
      </x:c>
      <x:c r="E13" s="12" t="str">
        <x:v>已投无回复</x:v>
      </x:c>
      <x:c r="F13" s="13"/>
      <x:c r="G13" s="13"/>
      <x:c r="H13" s="13"/>
      <x:c r="I13" s="13" t="d">
        <x:v>2026-10-10T00:00:00.000Z</x:v>
      </x:c>
      <x:c r="J13" s="12" t="str">
        <x:v>确认申请完整性及所选方向；补GPA、提交日期</x:v>
      </x:c>
      <x:c r="K13" s="12"/>
      <x:c r="L13" s="12"/>
      <x:c r="M13" s="12" t="str">
        <x:v>候选人门户</x:v>
      </x:c>
      <x:c r="N13" s="12" t="str">
        <x:v>用户：已投无后续。若为2027 Graduate Associate，官方10月25日截止。</x:v>
      </x:c>
      <x:c r="O13" s="18" t="str">
        <x:f>IF(OR(B13="",E13="待投",E13="待核实",E13="已截止",E13="不投",E13="暂缓",E13="Offer",E13="拒绝",E13="撤回"),"",IF(G13&lt;&gt;"",$B$3-G13,IF(F13&lt;&gt;"",$B$3-F13,"待补日期")))</x:f>
        <x:v>待补日期</x:v>
      </x:c>
      <x:c r="P13" s="11" t="str">
        <x:f>IF(B13="","",IF(OR(E13="不投",E13="暂缓"),"不提醒",IF(OR(E13="Offer",E13="拒绝",E13="撤回",E13="已截止"),"已结束",IF(I13="","待设日期",IF(I13&lt;=$B$3,"需处理","已排期")))))</x:f>
        <x:v>需处理</x:v>
      </x:c>
      <x:c r="Q13" s="16" t="str">
        <x:v>https://www.hkexgroup.com/About-HKEX/Careers-at-HKEX/Early-Careers?sc_lang=en</x:v>
      </x:c>
    </x:row>
    <x:row r="14" ht="90" customHeight="1">
      <x:c r="A14" s="11" t="str">
        <x:v>A005</x:v>
      </x:c>
      <x:c r="B14" s="11" t="str">
        <x:v>中银香港 BOCHK</x:v>
      </x:c>
      <x:c r="C14" s="11" t="str">
        <x:v>2027 Management Trainee</x:v>
      </x:c>
      <x:c r="D14" s="11" t="str">
        <x:v>不投</x:v>
      </x:c>
      <x:c r="E14" s="12" t="str">
        <x:v>不投</x:v>
      </x:c>
      <x:c r="F14" s="13"/>
      <x:c r="G14" s="13"/>
      <x:c r="H14" s="13"/>
      <x:c r="I14" s="13"/>
      <x:c r="J14" s="12" t="str">
        <x:v>停止投递及跟进提醒</x:v>
      </x:c>
      <x:c r="K14" s="12" t="str">
        <x:v>500104</x:v>
      </x:c>
      <x:c r="L14" s="12" t="str">
        <x:v>B 商业/GT</x:v>
      </x:c>
      <x:c r="M14" s="12"/>
      <x:c r="N14" s="12" t="str">
        <x:v>2026-10-10 用户决定：用户判断为HR管培、方向不匹配，明确不投。具体原始JD待核；保留历史来源。</x:v>
      </x:c>
      <x:c r="O14" s="18" t="str">
        <x:f>IF(OR(B14="",E14="待投",E14="待核实",E14="已截止",E14="不投",E14="暂缓",E14="Offer",E14="拒绝",E14="撤回"),"",IF(G14&lt;&gt;"",$B$3-G14,IF(F14&lt;&gt;"",$B$3-F14,"待补日期")))</x:f>
      </x:c>
      <x:c r="P14" s="11" t="str">
        <x:f>IF(B14="","",IF(OR(E14="不投",E14="暂缓"),"不提醒",IF(OR(E14="Offer",E14="拒绝",E14="撤回",E14="已截止"),"已结束",IF(I14="","待设日期",IF(I14&lt;=$B$3,"需处理","已排期")))))</x:f>
        <x:v>不提醒</x:v>
      </x:c>
      <x:c r="Q14" s="16" t="str">
        <x:v>https://www.bochk.com/en/career/ustudentprogramme/mgttrainee.html</x:v>
      </x:c>
    </x:row>
    <x:row r="15" ht="90" customHeight="1">
      <x:c r="A15" s="11" t="str">
        <x:v>A006</x:v>
      </x:c>
      <x:c r="B15" s="11" t="str">
        <x:v>Mastercard</x:v>
      </x:c>
      <x:c r="C15" s="11" t="str">
        <x:v>Associate Consultant, Launch Graduate Program 2027</x:v>
      </x:c>
      <x:c r="D15" s="11" t="str">
        <x:v>不投</x:v>
      </x:c>
      <x:c r="E15" s="12" t="str">
        <x:v>不投</x:v>
      </x:c>
      <x:c r="F15" s="13"/>
      <x:c r="G15" s="13"/>
      <x:c r="H15" s="13"/>
      <x:c r="I15" s="13"/>
      <x:c r="J15" s="12" t="str">
        <x:v>停止投递及跟进提醒</x:v>
      </x:c>
      <x:c r="K15" s="12" t="str">
        <x:v>R-287570</x:v>
      </x:c>
      <x:c r="L15" s="12" t="str">
        <x:v>B 商业/GT</x:v>
      </x:c>
      <x:c r="M15" s="12"/>
      <x:c r="N15" s="12" t="str">
        <x:v>2026-10-10 用户决定：用户判断偏统计分析，与AI/IT工程目标不匹配，明确不投。</x:v>
      </x:c>
      <x:c r="O15" s="18" t="str">
        <x:f>IF(OR(B15="",E15="待投",E15="待核实",E15="已截止",E15="不投",E15="暂缓",E15="Offer",E15="拒绝",E15="撤回"),"",IF(G15&lt;&gt;"",$B$3-G15,IF(F15&lt;&gt;"",$B$3-F15,"待补日期")))</x:f>
      </x:c>
      <x:c r="P15" s="11" t="str">
        <x:f>IF(B15="","",IF(OR(E15="不投",E15="暂缓"),"不提醒",IF(OR(E15="Offer",E15="拒绝",E15="撤回",E15="已截止"),"已结束",IF(I15="","待设日期",IF(I15&lt;=$B$3,"需处理","已排期")))))</x:f>
        <x:v>不提醒</x:v>
      </x:c>
      <x:c r="Q15" s="16" t="str">
        <x:v>https://mastercard.wd1.myworkdayjobs.com/en-US/campus/job/Wanchai-Hong-Kong/Associate-Consultant--Launch-Graduate-Program-2027---Hong-Kong-SAR_R-287570</x:v>
      </x:c>
    </x:row>
    <x:row r="16" ht="90" customHeight="1">
      <x:c r="A16" s="11" t="str">
        <x:v>A007</x:v>
      </x:c>
      <x:c r="B16" s="11" t="str">
        <x:v>BlackRock</x:v>
      </x:c>
      <x:c r="C16" s="11" t="str">
        <x:v>2027 Full-Time Analyst - Aladdin Data (Hong Kong)</x:v>
      </x:c>
      <x:c r="D16" s="11" t="str">
        <x:v>不投</x:v>
      </x:c>
      <x:c r="E16" s="12" t="str">
        <x:v>不投</x:v>
      </x:c>
      <x:c r="F16" s="13"/>
      <x:c r="G16" s="13"/>
      <x:c r="H16" s="13"/>
      <x:c r="I16" s="13"/>
      <x:c r="J16" s="12" t="str">
        <x:v>停止投递及跟进提醒</x:v>
      </x:c>
      <x:c r="K16" s="12" t="str">
        <x:v>11983</x:v>
      </x:c>
      <x:c r="L16" s="12" t="str">
        <x:v>A AI/工程</x:v>
      </x:c>
      <x:c r="M16" s="12"/>
      <x:c r="N16" s="12" t="str">
        <x:v>2026-10-10 用户决定：用户决定不投入BlackRock申请；属于个人投递取舍，不代表客观录用概率为零。</x:v>
      </x:c>
      <x:c r="O16" s="18" t="str">
        <x:f>IF(OR(B16="",E16="待投",E16="待核实",E16="已截止",E16="不投",E16="暂缓",E16="Offer",E16="拒绝",E16="撤回"),"",IF(G16&lt;&gt;"",$B$3-G16,IF(F16&lt;&gt;"",$B$3-F16,"待补日期")))</x:f>
      </x:c>
      <x:c r="P16" s="11" t="str">
        <x:f>IF(B16="","",IF(OR(E16="不投",E16="暂缓"),"不提醒",IF(OR(E16="Offer",E16="拒绝",E16="撤回",E16="已截止"),"已结束",IF(I16="","待设日期",IF(I16&lt;=$B$3,"需处理","已排期")))))</x:f>
        <x:v>不提醒</x:v>
      </x:c>
      <x:c r="Q16" s="16" t="str">
        <x:v>https://blackrock.tal.net/vx/lang-en-GB/mobile-0/brand-3/xf-5af8477883b5/candidate/so/pm/1/pl/1/opp/11983-2027-Full-Time-Analyst-Program-APAC/en-GB</x:v>
      </x:c>
    </x:row>
    <x:row r="17" ht="90" customHeight="1">
      <x:c r="A17" s="11" t="str">
        <x:v>A008</x:v>
      </x:c>
      <x:c r="B17" s="11" t="str">
        <x:v>Cathay Pacific 国泰</x:v>
      </x:c>
      <x:c r="C17" s="11" t="str">
        <x:v>2027 Digital &amp; IT Graduate Trainee (Hong Kong track)</x:v>
      </x:c>
      <x:c r="D17" s="11" t="str">
        <x:v>已投 跟进</x:v>
      </x:c>
      <x:c r="E17" s="12" t="str">
        <x:v>已投无回复</x:v>
      </x:c>
      <x:c r="F17" s="13"/>
      <x:c r="G17" s="13"/>
      <x:c r="H17" s="13"/>
      <x:c r="I17" s="13" t="d">
        <x:v>2026-10-17T00:00:00.000Z</x:v>
      </x:c>
      <x:c r="J17" s="12" t="str">
        <x:v>保存确认邮件、补实际提交日与编号；查看测评邀请</x:v>
      </x:c>
      <x:c r="K17" s="12" t="str">
        <x:v>32165</x:v>
      </x:c>
      <x:c r="L17" s="12" t="str">
        <x:v>A AI/工程</x:v>
      </x:c>
      <x:c r="M17" s="12"/>
      <x:c r="N17" s="12" t="str">
        <x:v>2026-10-10用户确认国泰已投；未报告后续结果，实际提交日期未提供。</x:v>
      </x:c>
      <x:c r="O17" s="18" t="str">
        <x:f>IF(OR(B17="",E17="待投",E17="待核实",E17="已截止",E17="不投",E17="暂缓",E17="Offer",E17="拒绝",E17="撤回"),"",IF(G17&lt;&gt;"",$B$3-G17,IF(F17&lt;&gt;"",$B$3-F17,"待补日期")))</x:f>
        <x:v>待补日期</x:v>
      </x:c>
      <x:c r="P17" s="11" t="str">
        <x:f>IF(B17="","",IF(OR(E17="不投",E17="暂缓"),"不提醒",IF(OR(E17="Offer",E17="拒绝",E17="撤回",E17="已截止"),"已结束",IF(I17="","待设日期",IF(I17&lt;=$B$3,"需处理","已排期")))))</x:f>
        <x:v>已排期</x:v>
      </x:c>
      <x:c r="Q17" s="16" t="str">
        <x:v>https://careers.cathaypacific.com/en/careers/jobs/hong-kong/2027-digital-it-graduate-trainee-programme-hk-gba-32165</x:v>
      </x:c>
    </x:row>
    <x:row r="18" ht="90" customHeight="1">
      <x:c r="A18" s="11" t="str">
        <x:v>A009</x:v>
      </x:c>
      <x:c r="B18" s="11" t="str">
        <x:v>Arup 奥雅纳</x:v>
      </x:c>
      <x:c r="C18" s="11" t="str">
        <x:v>Graduate AI Consultant (2027 Intake)</x:v>
      </x:c>
      <x:c r="D18" s="11" t="str">
        <x:v>17 | P2 咨询备选</x:v>
      </x:c>
      <x:c r="E18" s="12" t="str">
        <x:v>暂缓</x:v>
      </x:c>
      <x:c r="F18" s="13"/>
      <x:c r="G18" s="13"/>
      <x:c r="H18" s="13"/>
      <x:c r="I18" s="13"/>
      <x:c r="J18" s="12" t="str">
        <x:v>D 匹配岗位·备选。本周投；附成绩单，展示Agent系统与3D应用；按用户最新偏好降低优先度，保留历史记录。</x:v>
      </x:c>
      <x:c r="K18" s="12" t="str">
        <x:v>HON0003TZ</x:v>
      </x:c>
      <x:c r="L18" s="12" t="str">
        <x:v>A AI/工程</x:v>
      </x:c>
      <x:c r="M18" s="12"/>
      <x:c r="N18" s="12" t="str">
        <x:v>用户最新要求减少咨询；保留为备选，非不符合资格或被拒绝。</x:v>
      </x:c>
      <x:c r="O18" s="18" t="str">
        <x:f>IF(OR(B18="",E18="待投",E18="待核实",E18="已截止",E18="不投",E18="暂缓",E18="Offer",E18="拒绝",E18="撤回"),"",IF(G18&lt;&gt;"",$B$3-G18,IF(F18&lt;&gt;"",$B$3-F18,"待补日期")))</x:f>
      </x:c>
      <x:c r="P18" s="11" t="str">
        <x:f>IF(B18="","",IF(OR(E18="不投",E18="暂缓"),"不提醒",IF(OR(E18="Offer",E18="拒绝",E18="撤回",E18="已截止"),"已结束",IF(I18="","待设日期",IF(I18&lt;=$B$3,"需处理","已排期")))))</x:f>
        <x:v>不提醒</x:v>
      </x:c>
      <x:c r="Q18" s="16" t="str">
        <x:v>https://jobs.arup.com/jobs/graduate-ai-consultant-35212</x:v>
      </x:c>
    </x:row>
    <x:row r="19" ht="90" customHeight="1">
      <x:c r="A19" s="11" t="str">
        <x:v>A010</x:v>
      </x:c>
      <x:c r="B19" s="11" t="str">
        <x:v>Accenture 埃森哲</x:v>
      </x:c>
      <x:c r="C19" s="11" t="str">
        <x:v>2027 AI-Native Analyst Program (Hong Kong)</x:v>
      </x:c>
      <x:c r="D19" s="11" t="str">
        <x:v>14 | P2 咨询备选</x:v>
      </x:c>
      <x:c r="E19" s="12" t="str">
        <x:v>暂缓</x:v>
      </x:c>
      <x:c r="F19" s="13"/>
      <x:c r="G19" s="13"/>
      <x:c r="H19" s="13"/>
      <x:c r="I19" s="13"/>
      <x:c r="J19" s="12" t="str">
        <x:v>C 有截止·备选。核对HK具体AI/软件/云岗位及工程职责；排除纯业务分析方向；按用户最新偏好降低优先度，保留历史记录。</x:v>
      </x:c>
      <x:c r="K19" s="12"/>
      <x:c r="L19" s="12" t="str">
        <x:v>A AI/工程</x:v>
      </x:c>
      <x:c r="M19" s="12"/>
      <x:c r="N19" s="12" t="str">
        <x:v>用户最新要求减少咨询；保留为备选，非不符合资格或被拒绝。</x:v>
      </x:c>
      <x:c r="O19" s="18" t="str">
        <x:f>IF(OR(B19="",E19="待投",E19="待核实",E19="已截止",E19="不投",E19="暂缓",E19="Offer",E19="拒绝",E19="撤回"),"",IF(G19&lt;&gt;"",$B$3-G19,IF(F19&lt;&gt;"",$B$3-F19,"待补日期")))</x:f>
      </x:c>
      <x:c r="P19" s="11" t="str">
        <x:f>IF(B19="","",IF(OR(E19="不投",E19="暂缓"),"不提醒",IF(OR(E19="Offer",E19="拒绝",E19="撤回",E19="已截止"),"已结束",IF(I19="","待设日期",IF(I19&lt;=$B$3,"需处理","已排期")))))</x:f>
        <x:v>不提醒</x:v>
      </x:c>
      <x:c r="Q19" s="16" t="str">
        <x:v>https://www.accenture.com/hk-en/careers/life-at-accenture/internships-careers</x:v>
      </x:c>
    </x:row>
    <x:row r="20" ht="90" customHeight="1">
      <x:c r="A20" s="11" t="str">
        <x:v>A011</x:v>
      </x:c>
      <x:c r="B20" s="11" t="str">
        <x:v>Marshall Wace</x:v>
      </x:c>
      <x:c r="C20" s="11" t="str">
        <x:v>Software/Infrastructure Graduate 2027 Hong Kong</x:v>
      </x:c>
      <x:c r="D20" s="11" t="str">
        <x:v>51 | 观察 非主线</x:v>
      </x:c>
      <x:c r="E20" s="12" t="str">
        <x:v>暂缓</x:v>
      </x:c>
      <x:c r="F20" s="13"/>
      <x:c r="G20" s="13"/>
      <x:c r="H20" s="13"/>
      <x:c r="I20" s="13"/>
      <x:c r="J20" s="12" t="str">
        <x:v>F 暂缓·有具体限制。资管高难度冲刺，按本轮偏好移出主投队列；未判定不符合资格。</x:v>
      </x:c>
      <x:c r="K20" s="12" t="str">
        <x:v>8646984002</x:v>
      </x:c>
      <x:c r="L20" s="12" t="str">
        <x:v>A AI/工程</x:v>
      </x:c>
      <x:c r="M20" s="12"/>
      <x:c r="N20" s="12" t="str">
        <x:v>资管高难度冲刺，按本轮偏好移出主投队列；未判定不符合资格。</x:v>
      </x:c>
      <x:c r="O20" s="18" t="str">
        <x:f>IF(OR(B20="",E20="待投",E20="待核实",E20="已截止",E20="不投",E20="暂缓",E20="Offer",E20="拒绝",E20="撤回"),"",IF(G20&lt;&gt;"",$B$3-G20,IF(F20&lt;&gt;"",$B$3-F20,"待补日期")))</x:f>
      </x:c>
      <x:c r="P20" s="11" t="str">
        <x:f>IF(B20="","",IF(OR(E20="不投",E20="暂缓"),"不提醒",IF(OR(E20="Offer",E20="拒绝",E20="撤回",E20="已截止"),"已结束",IF(I20="","待设日期",IF(I20&lt;=$B$3,"需处理","已排期")))))</x:f>
        <x:v>不提醒</x:v>
      </x:c>
      <x:c r="Q20" s="16" t="str">
        <x:v>https://job-boards.greenhouse.io/mw-tech-grad/jobs/8646984002</x:v>
      </x:c>
    </x:row>
    <x:row r="21" ht="90" customHeight="1">
      <x:c r="A21" s="11" t="str">
        <x:v>A012</x:v>
      </x:c>
      <x:c r="B21" s="11" t="str">
        <x:v>Hong Kong Jockey Club 香港赛马会</x:v>
      </x:c>
      <x:c r="C21" s="11" t="str">
        <x:v>2027 Management Trainee — 优先IT，其次People &amp; OD</x:v>
      </x:c>
      <x:c r="D21" s="11" t="str">
        <x:v>04 | P1 优先</x:v>
      </x:c>
      <x:c r="E21" s="12" t="str">
        <x:v>待核实</x:v>
      </x:c>
      <x:c r="F21" s="13"/>
      <x:c r="G21" s="13"/>
      <x:c r="H21" s="13"/>
      <x:c r="I21" s="13" t="d">
        <x:v>2026-10-13T00:00:00.000Z</x:v>
      </x:c>
      <x:c r="J21" s="12" t="str">
        <x:v>A 近期截止·优先轨道。优先填写IT意向；People &amp; OD次选。核实本轮选项及香港/深圳安排</x:v>
      </x:c>
      <x:c r="K21" s="12"/>
      <x:c r="L21" s="12" t="str">
        <x:v>B 商业/GT</x:v>
      </x:c>
      <x:c r="M21" s="12"/>
      <x:c r="N21" s="12" t="str">
        <x:v>按用户新增Human Capital偏好重新评估；已核实官网项目，申请时确认方向与资格。</x:v>
      </x:c>
      <x:c r="O21" s="18" t="str">
        <x:f>IF(OR(B21="",E21="待投",E21="待核实",E21="已截止",E21="不投",E21="暂缓",E21="Offer",E21="拒绝",E21="撤回"),"",IF(G21&lt;&gt;"",$B$3-G21,IF(F21&lt;&gt;"",$B$3-F21,"待补日期")))</x:f>
      </x:c>
      <x:c r="P21" s="11" t="str">
        <x:f>IF(B21="","",IF(OR(E21="不投",E21="暂缓"),"不提醒",IF(OR(E21="Offer",E21="拒绝",E21="撤回",E21="已截止"),"已结束",IF(I21="","待设日期",IF(I21&lt;=$B$3,"需处理","已排期")))))</x:f>
        <x:v>需处理</x:v>
      </x:c>
      <x:c r="Q21" s="16" t="str">
        <x:v>https://careers.hkjc.com/MT/?locale=en_GB</x:v>
      </x:c>
    </x:row>
    <x:row r="22" ht="90" customHeight="1">
      <x:c r="A22" s="11" t="str">
        <x:v>A013</x:v>
      </x:c>
      <x:c r="B22" s="11" t="str">
        <x:v>MTR 港铁</x:v>
      </x:c>
      <x:c r="C22" s="11" t="str">
        <x:v>2027 Human Resources Associate；GT综合方向备选</x:v>
      </x:c>
      <x:c r="D22" s="11" t="str">
        <x:v>02 | P1 优先</x:v>
      </x:c>
      <x:c r="E22" s="12" t="str">
        <x:v>待核实</x:v>
      </x:c>
      <x:c r="F22" s="13"/>
      <x:c r="G22" s="13"/>
      <x:c r="H22" s="13"/>
      <x:c r="I22" s="13" t="d">
        <x:v>2026-10-13T00:00:00.000Z</x:v>
      </x:c>
      <x:c r="J22" s="12" t="str">
        <x:v>A 近期截止·优先轨道。优先HRA；同一表最多列3个项目志愿，GT作为备选。不要选不存在的IT Associate批次。</x:v>
      </x:c>
      <x:c r="K22" s="12"/>
      <x:c r="L22" s="12" t="str">
        <x:v>B 商业/GT</x:v>
      </x:c>
      <x:c r="M22" s="12"/>
      <x:c r="N22" s="12" t="str">
        <x:v>按用户新增Human Capital偏好重新评估；已核实官网项目，申请时确认方向与资格。</x:v>
      </x:c>
      <x:c r="O22" s="18" t="str">
        <x:f>IF(OR(B22="",E22="待投",E22="待核实",E22="已截止",E22="不投",E22="暂缓",E22="Offer",E22="拒绝",E22="撤回"),"",IF(G22&lt;&gt;"",$B$3-G22,IF(F22&lt;&gt;"",$B$3-F22,"待补日期")))</x:f>
      </x:c>
      <x:c r="P22" s="11" t="str">
        <x:f>IF(B22="","",IF(OR(E22="不投",E22="暂缓"),"不提醒",IF(OR(E22="Offer",E22="拒绝",E22="撤回",E22="已截止"),"已结束",IF(I22="","待设日期",IF(I22&lt;=$B$3,"需处理","已排期")))))</x:f>
        <x:v>需处理</x:v>
      </x:c>
      <x:c r="Q22" s="16" t="str">
        <x:v>https://www.mtr.com.hk/graduate-development-programme/index.php</x:v>
      </x:c>
    </x:row>
    <x:row r="23" ht="90" customHeight="1">
      <x:c r="A23" s="11" t="str">
        <x:v>A014</x:v>
      </x:c>
      <x:c r="B23" s="11" t="str">
        <x:v>Swire 太古</x:v>
      </x:c>
      <x:c r="C23" s="11" t="str">
        <x:v>Swire Management Programme 2027</x:v>
      </x:c>
      <x:c r="D23" s="11" t="str">
        <x:v>13 | P2 综合GT备选</x:v>
      </x:c>
      <x:c r="E23" s="12" t="str">
        <x:v>暂缓</x:v>
      </x:c>
      <x:c r="F23" s="13"/>
      <x:c r="G23" s="13"/>
      <x:c r="H23" s="13"/>
      <x:c r="I23" s="13"/>
      <x:c r="J23" s="12" t="str">
        <x:v>C 有截止·备选。如接受非固定IT/HR及跨地区轮岗，可在10/31前投；不优先于专门IT/HC轨道</x:v>
      </x:c>
      <x:c r="K23" s="12"/>
      <x:c r="L23" s="12" t="str">
        <x:v>B 商业/GT</x:v>
      </x:c>
      <x:c r="M23" s="12"/>
      <x:c r="N23" s="12" t="str">
        <x:v>综合管理与跨地区轮岗不属当前AI/IT主线。</x:v>
      </x:c>
      <x:c r="O23" s="18" t="str">
        <x:f>IF(OR(B23="",E23="待投",E23="待核实",E23="已截止",E23="不投",E23="暂缓",E23="Offer",E23="拒绝",E23="撤回"),"",IF(G23&lt;&gt;"",$B$3-G23,IF(F23&lt;&gt;"",$B$3-F23,"待补日期")))</x:f>
      </x:c>
      <x:c r="P23" s="11" t="str">
        <x:f>IF(B23="","",IF(OR(E23="不投",E23="暂缓"),"不提醒",IF(OR(E23="Offer",E23="拒绝",E23="撤回",E23="已截止"),"已结束",IF(I23="","待设日期",IF(I23&lt;=$B$3,"需处理","已排期")))))</x:f>
        <x:v>不提醒</x:v>
      </x:c>
      <x:c r="Q23" s="16" t="str">
        <x:v>https://careers.swire.com/en/careers/swire-management-programme</x:v>
      </x:c>
    </x:row>
    <x:row r="24" ht="90" customHeight="1">
      <x:c r="A24" s="11" t="str">
        <x:v>A015</x:v>
      </x:c>
      <x:c r="B24" s="11" t="str">
        <x:v>HKTV 香港科技探索</x:v>
      </x:c>
      <x:c r="C24" s="11" t="str">
        <x:v>2027 Graduate Trainee — People Department（Human Capital方向）</x:v>
      </x:c>
      <x:c r="D24" s="11" t="str">
        <x:v>05 | P1 条件匹配</x:v>
      </x:c>
      <x:c r="E24" s="12" t="str">
        <x:v>待核实</x:v>
      </x:c>
      <x:c r="F24" s="13"/>
      <x:c r="G24" s="13"/>
      <x:c r="H24" s="13"/>
      <x:c r="I24" s="13" t="d">
        <x:v>2026-10-18T00:00:00.000Z</x:v>
      </x:c>
      <x:c r="J24" s="12" t="str">
        <x:v>A 近期截止·优先轨道。先核对粤语及People Department申请选项；准备自我介绍视频；不能当作IT Track</x:v>
      </x:c>
      <x:c r="K24" s="12"/>
      <x:c r="L24" s="12" t="str">
        <x:v>B 商业/GT</x:v>
      </x:c>
      <x:c r="M24" s="12"/>
      <x:c r="N24" s="12" t="str">
        <x:v>官网People Department可作为HC方向；未列IT。英语及粤语、2027年6月到岗、自我介绍视频。</x:v>
      </x:c>
      <x:c r="O24" s="18" t="str">
        <x:f>IF(OR(B24="",E24="待投",E24="待核实",E24="已截止",E24="不投",E24="暂缓",E24="Offer",E24="拒绝",E24="撤回"),"",IF(G24&lt;&gt;"",$B$3-G24,IF(F24&lt;&gt;"",$B$3-F24,"待补日期")))</x:f>
      </x:c>
      <x:c r="P24" s="11" t="str">
        <x:f>IF(B24="","",IF(OR(E24="不投",E24="暂缓"),"不提醒",IF(OR(E24="Offer",E24="拒绝",E24="撤回",E24="已截止"),"已结束",IF(I24="","待设日期",IF(I24&lt;=$B$3,"需处理","已排期")))))</x:f>
        <x:v>已排期</x:v>
      </x:c>
      <x:c r="Q24" s="16" t="str">
        <x:v>https://hktvcareers.com/programmes/</x:v>
      </x:c>
    </x:row>
    <x:row r="25" ht="90" customHeight="1">
      <x:c r="A25" s="11" t="str">
        <x:v>A016</x:v>
      </x:c>
      <x:c r="B25" s="11" t="str">
        <x:v>HKGAI</x:v>
      </x:c>
      <x:c r="C25" s="11" t="str">
        <x:v>Research Engineer / Software Engineer</x:v>
      </x:c>
      <x:c r="D25" s="11" t="str">
        <x:v>19 | P1 条件匹配</x:v>
      </x:c>
      <x:c r="E25" s="12" t="str">
        <x:v>待核实</x:v>
      </x:c>
      <x:c r="F25" s="13"/>
      <x:c r="G25" s="13"/>
      <x:c r="H25" s="13"/>
      <x:c r="I25" s="13" t="d">
        <x:v>2026-10-15T00:00:00.000Z</x:v>
      </x:c>
      <x:c r="J25" s="12" t="str">
        <x:v>D 匹配岗位·备选。用研究工程版；核对硕士与1-2年合约</x:v>
      </x:c>
      <x:c r="K25" s="12" t="str">
        <x:v>HKGAI0008</x:v>
      </x:c>
      <x:c r="L25" s="12" t="str">
        <x:v>A AI/工程</x:v>
      </x:c>
      <x:c r="M25" s="12"/>
      <x:c r="N25" s="12" t="str">
        <x:v>招满即止；硕士要求；2027.03毕业前应先询问到岗安排</x:v>
      </x:c>
      <x:c r="O25" s="18" t="str">
        <x:f>IF(OR(B25="",E25="待投",E25="待核实",E25="已截止",E25="不投",E25="暂缓",E25="Offer",E25="拒绝",E25="撤回"),"",IF(G25&lt;&gt;"",$B$3-G25,IF(F25&lt;&gt;"",$B$3-F25,"待补日期")))</x:f>
      </x:c>
      <x:c r="P25" s="11" t="str">
        <x:f>IF(B25="","",IF(OR(E25="不投",E25="暂缓"),"不提醒",IF(OR(E25="Offer",E25="拒绝",E25="撤回",E25="已截止"),"已结束",IF(I25="","待设日期",IF(I25&lt;=$B$3,"需处理","已排期")))))</x:f>
        <x:v>已排期</x:v>
      </x:c>
      <x:c r="Q25" s="16" t="str">
        <x:v>https://hkustcareers.hkust.edu.hk/hong-kong-generative-ai-research-and-development-center-limited/hkgai0008</x:v>
      </x:c>
    </x:row>
    <x:row r="26" ht="90" customHeight="1">
      <x:c r="A26" s="11" t="str">
        <x:v>A017</x:v>
      </x:c>
      <x:c r="B26" s="11" t="str">
        <x:v>Amber Group</x:v>
      </x:c>
      <x:c r="C26" s="11" t="str">
        <x:v>内部转正 / AI Engineer</x:v>
      </x:c>
      <x:c r="D26" s="11" t="str">
        <x:v>23 | P1 内部确认</x:v>
      </x:c>
      <x:c r="E26" s="12" t="str">
        <x:v>待核实</x:v>
      </x:c>
      <x:c r="F26" s="13"/>
      <x:c r="G26" s="13"/>
      <x:c r="H26" s="13"/>
      <x:c r="I26" s="13" t="d">
        <x:v>2026-10-12T00:00:00.000Z</x:v>
      </x:c>
      <x:c r="J26" s="12" t="str">
        <x:v>D 匹配岗位·备选。由你与主管讨论转正条件；并行外部申请</x:v>
      </x:c>
      <x:c r="K26" s="12"/>
      <x:c r="L26" s="12" t="str">
        <x:v>A AI/工程</x:v>
      </x:c>
      <x:c r="M26" s="12"/>
      <x:c r="N26" s="12" t="str">
        <x:v>取决内部headcount；确认香港雇佣、毕业入职、薪酬与汇报关系</x:v>
      </x:c>
      <x:c r="O26" s="18" t="str">
        <x:f>IF(OR(B26="",E26="待投",E26="待核实",E26="已截止",E26="不投",E26="暂缓",E26="Offer",E26="拒绝",E26="撤回"),"",IF(G26&lt;&gt;"",$B$3-G26,IF(F26&lt;&gt;"",$B$3-F26,"待补日期")))</x:f>
      </x:c>
      <x:c r="P26" s="11" t="str">
        <x:f>IF(B26="","",IF(OR(E26="不投",E26="暂缓"),"不提醒",IF(OR(E26="Offer",E26="拒绝",E26="撤回",E26="已截止"),"已结束",IF(I26="","待设日期",IF(I26&lt;=$B$3,"需处理","已排期")))))</x:f>
        <x:v>需处理</x:v>
      </x:c>
      <x:c r="Q26" s="16" t="str">
        <x:v>https://ambergroup.io/careers?jobType=&amp;location=Hong+Kong&amp;page=1</x:v>
      </x:c>
    </x:row>
    <x:row r="27" ht="100" customHeight="1">
      <x:c r="A27" s="11" t="str">
        <x:v>A018</x:v>
      </x:c>
      <x:c r="B27" s="11" t="str">
        <x:v>OOCL 东方海外</x:v>
      </x:c>
      <x:c r="C27" s="11" t="str">
        <x:v>2027 IT Graduate Trainee（优先Technical Analyst方向）</x:v>
      </x:c>
      <x:c r="D27" s="11" t="str">
        <x:v>06 | P1 优先</x:v>
      </x:c>
      <x:c r="E27" s="12" t="str">
        <x:v>待投</x:v>
      </x:c>
      <x:c r="F27" s="13"/>
      <x:c r="G27" s="13"/>
      <x:c r="H27" s="13"/>
      <x:c r="I27" s="13" t="d">
        <x:v>2026-10-12T00:00:00.000Z</x:v>
      </x:c>
      <x:c r="J27" s="12" t="str">
        <x:v>B 技术GT·近期推进。10/12前备齐CV+最新成绩单，电邮ITAPPLY@OOCL.COM；技术方向优先。详见OOCL申请指南</x:v>
      </x:c>
      <x:c r="K27" s="12" t="str"/>
      <x:c r="L27" s="12" t="str">
        <x:v>A AI/工程</x:v>
      </x:c>
      <x:c r="M27" s="12" t="str">
        <x:v>ITAPPLY@OOCL.COM</x:v>
      </x:c>
      <x:c r="N27" s="12" t="str">
        <x:v>本科以上；接受非HK永久居民申请；需核对技术轨道及到岗工作权。IT轨道未见明确截止；12/31仅适用于MT，不能套用</x:v>
      </x:c>
      <x:c r="O27" s="18" t="str">
        <x:f>IF(OR(B27="",E27="待投",E27="待核实",E27="已截止",E27="不投",E27="暂缓",E27="Offer",E27="拒绝",E27="撤回"),"",IF(G27&lt;&gt;"",$B$3-G27,IF(F27&lt;&gt;"",$B$3-F27,"待补日期")))</x:f>
      </x:c>
      <x:c r="P27" s="11" t="str">
        <x:f>IF(B27="","",IF(OR(E27="不投",E27="暂缓"),"不提醒",IF(OR(E27="Offer",E27="拒绝",E27="撤回",E27="已截止"),"已结束",IF(I27="","待设日期",IF(I27&lt;=$B$3,"需处理","已排期")))))</x:f>
        <x:v>需处理</x:v>
      </x:c>
      <x:c r="Q27" s="16" t="str">
        <x:v>https://www.oocl.com/eng/aboutoocl/ooclcareer/careersatoocl/Documents/Career/index.aspx</x:v>
      </x:c>
    </x:row>
    <x:row r="28" ht="100" customHeight="1">
      <x:c r="A28" s="11" t="str">
        <x:v>A019</x:v>
      </x:c>
      <x:c r="B28" s="11" t="str">
        <x:v>HK Electric 港灯</x:v>
      </x:c>
      <x:c r="C28" s="11" t="str">
        <x:v>Graduate Trainee 2027 — Information Technology</x:v>
      </x:c>
      <x:c r="D28" s="11" t="str">
        <x:v>09 | P1 优先</x:v>
      </x:c>
      <x:c r="E28" s="12" t="str">
        <x:v>待投</x:v>
      </x:c>
      <x:c r="F28" s="13"/>
      <x:c r="G28" s="13"/>
      <x:c r="H28" s="13"/>
      <x:c r="I28" s="13" t="d">
        <x:v>2026-10-14T00:00:00.000Z</x:v>
      </x:c>
      <x:c r="J28" s="12" t="str">
        <x:v>B 技术GT·近期推进。选择Information Technology；准备成绩单并确认专业资格</x:v>
      </x:c>
      <x:c r="K28" s="12" t="str">
        <x:v>GT-2027-LI</x:v>
      </x:c>
      <x:c r="L28" s="12" t="str">
        <x:v>A AI/工程</x:v>
      </x:c>
      <x:c r="M28" s="12"/>
      <x:c r="N28" s="12" t="str">
        <x:v>2027招聘包含IT专业；Data Science是否认可、语言及签证按完整申请条件确认。港灯LinkedIn雇主职位列明</x:v>
      </x:c>
      <x:c r="O28" s="18" t="str">
        <x:f>IF(OR(B28="",E28="待投",E28="待核实",E28="已截止",E28="不投",E28="暂缓",E28="Offer",E28="拒绝",E28="撤回"),"",IF(G28&lt;&gt;"",$B$3-G28,IF(F28&lt;&gt;"",$B$3-F28,"待补日期")))</x:f>
      </x:c>
      <x:c r="P28" s="11" t="str">
        <x:f>IF(B28="","",IF(OR(E28="不投",E28="暂缓"),"不提醒",IF(OR(E28="Offer",E28="拒绝",E28="撤回",E28="已截止"),"已结束",IF(I28="","待设日期",IF(I28&lt;=$B$3,"需处理","已排期")))))</x:f>
        <x:v>已排期</x:v>
      </x:c>
      <x:c r="Q28" s="16" t="str">
        <x:v>https://hk.linkedin.com/jobs/view/graduate-trainee-2027-ref-gt-2027-li-at-the-hongkong-electric-co-ltd-hk-electric-4467075048</x:v>
      </x:c>
    </x:row>
    <x:row r="29" ht="100" customHeight="1">
      <x:c r="A29" s="11" t="str">
        <x:v>A020</x:v>
      </x:c>
      <x:c r="B29" s="11" t="str">
        <x:v>PwC 罗兵咸永道</x:v>
      </x:c>
      <x:c r="C29" s="11" t="str">
        <x:v>Cloud Engineering, Data &amp; AI Consulting Associate — HK Graduate</x:v>
      </x:c>
      <x:c r="D29" s="11" t="str">
        <x:v>18 | P2 咨询备选</x:v>
      </x:c>
      <x:c r="E29" s="12" t="str">
        <x:v>暂缓</x:v>
      </x:c>
      <x:c r="F29" s="13"/>
      <x:c r="G29" s="13"/>
      <x:c r="H29" s="13"/>
      <x:c r="I29" s="13"/>
      <x:c r="J29" s="12" t="str">
        <x:v>D 匹配岗位·备选。工程版简历重点写多Agent及保险LLM交付；确认技术项目分配；按用户最新偏好降低优先度，保留历史记录。</x:v>
      </x:c>
      <x:c r="K29" s="12" t="str">
        <x:v>2475d9fd-284b-4a85-a7db-0facc880e563</x:v>
      </x:c>
      <x:c r="L29" s="12" t="str">
        <x:v>A AI/工程</x:v>
      </x:c>
      <x:c r="M29" s="12"/>
      <x:c r="N29" s="12" t="str">
        <x:v>用户最新要求减少咨询；保留为备选，非不符合资格或被拒绝。</x:v>
      </x:c>
      <x:c r="O29" s="18" t="str">
        <x:f>IF(OR(B29="",E29="待投",E29="待核实",E29="已截止",E29="不投",E29="暂缓",E29="Offer",E29="拒绝",E29="撤回"),"",IF(G29&lt;&gt;"",$B$3-G29,IF(F29&lt;&gt;"",$B$3-F29,"待补日期")))</x:f>
      </x:c>
      <x:c r="P29" s="11" t="str">
        <x:f>IF(B29="","",IF(OR(E29="不投",E29="暂缓"),"不提醒",IF(OR(E29="Offer",E29="拒绝",E29="撤回",E29="已截止"),"已结束",IF(I29="","待设日期",IF(I29&lt;=$B$3,"需处理","已排期")))))</x:f>
        <x:v>不提醒</x:v>
      </x:c>
      <x:c r="Q29" s="16" t="str">
        <x:v>https://app.mokahr.com/campus-recruitment/pwc/148260?locale=en-US#/job/2475d9fd-284b-4a85-a7db-0facc880e563</x:v>
      </x:c>
    </x:row>
    <x:row r="30" ht="100" customHeight="1">
      <x:c r="A30" s="11" t="str">
        <x:v>A021</x:v>
      </x:c>
      <x:c r="B30" s="11" t="str">
        <x:v>HKPC 生产力促进局</x:v>
      </x:c>
      <x:c r="C30" s="11" t="str">
        <x:v>Assistant Engineer, AI and Data Science</x:v>
      </x:c>
      <x:c r="D30" s="11" t="str">
        <x:v>20 | P1 核实后投</x:v>
      </x:c>
      <x:c r="E30" s="12" t="str">
        <x:v>待核实</x:v>
      </x:c>
      <x:c r="F30" s="13"/>
      <x:c r="G30" s="13"/>
      <x:c r="H30" s="13"/>
      <x:c r="I30" s="13" t="d">
        <x:v>2026-10-12T00:00:00.000Z</x:v>
      </x:c>
      <x:c r="J30" s="12" t="str">
        <x:v>D 匹配岗位·备选。按DTD/11060在官网核对名额与入职时间；符合后投</x:v>
      </x:c>
      <x:c r="K30" s="12" t="str">
        <x:v>DTD/11060</x:v>
      </x:c>
      <x:c r="L30" s="12" t="str">
        <x:v>A AI/工程</x:v>
      </x:c>
      <x:c r="M30" s="12"/>
      <x:c r="N30" s="12" t="str">
        <x:v>相关本科/STEM；本科路线未列最低年资；Python、前端/API；中英文；24个月合约。招满即止；需复核DTD/11060是否仍可申请</x:v>
      </x:c>
      <x:c r="O30" s="18" t="str">
        <x:f>IF(OR(B30="",E30="待投",E30="待核实",E30="已截止",E30="不投",E30="暂缓",E30="Offer",E30="拒绝",E30="撤回"),"",IF(G30&lt;&gt;"",$B$3-G30,IF(F30&lt;&gt;"",$B$3-F30,"待补日期")))</x:f>
      </x:c>
      <x:c r="P30" s="11" t="str">
        <x:f>IF(B30="","",IF(OR(E30="不投",E30="暂缓"),"不提醒",IF(OR(E30="Offer",E30="拒绝",E30="撤回",E30="已截止"),"已结束",IF(I30="","待设日期",IF(I30&lt;=$B$3,"需处理","已排期")))))</x:f>
        <x:v>需处理</x:v>
      </x:c>
      <x:c r="Q30" s="16" t="str">
        <x:v>https://hk.linkedin.com/jobs/view/assistant-engineer-ai-and-data-science-ref-dtd-11060-at-hkpc-hong-kong-productivity-council-4465491676</x:v>
      </x:c>
    </x:row>
    <x:row r="31" ht="100" customHeight="1">
      <x:c r="A31" s="11" t="str">
        <x:v>A022</x:v>
      </x:c>
      <x:c r="B31" s="11" t="str">
        <x:v>Hactl 香港空运货站</x:v>
      </x:c>
      <x:c r="C31" s="11" t="str">
        <x:v>IT Graduate Trainee — Application Development Stream</x:v>
      </x:c>
      <x:c r="D31" s="11" t="str">
        <x:v>07 | P1 核实后投</x:v>
      </x:c>
      <x:c r="E31" s="12" t="str">
        <x:v>待核实</x:v>
      </x:c>
      <x:c r="F31" s="13"/>
      <x:c r="G31" s="13"/>
      <x:c r="H31" s="13"/>
      <x:c r="I31" s="13" t="d">
        <x:v>2026-10-13T00:00:00.000Z</x:v>
      </x:c>
      <x:c r="J31" s="12" t="str">
        <x:v>B 技术GT·近期推进。先确认毕业后入职安排；优先Application Development</x:v>
      </x:c>
      <x:c r="K31" s="12" t="str"/>
      <x:c r="L31" s="12" t="str">
        <x:v>A AI/工程</x:v>
      </x:c>
      <x:c r="M31" s="12"/>
      <x:c r="N31" s="12" t="str">
        <x:v>相关本科/高等文凭应届；Java/SQL或.NET等；不是已确认2027专属批次。未公布批次截止</x:v>
      </x:c>
      <x:c r="O31" s="18" t="str">
        <x:f>IF(OR(B31="",E31="待投",E31="待核实",E31="已截止",E31="不投",E31="暂缓",E31="Offer",E31="拒绝",E31="撤回"),"",IF(G31&lt;&gt;"",$B$3-G31,IF(F31&lt;&gt;"",$B$3-F31,"待补日期")))</x:f>
      </x:c>
      <x:c r="P31" s="11" t="str">
        <x:f>IF(B31="","",IF(OR(E31="不投",E31="暂缓"),"不提醒",IF(OR(E31="Offer",E31="拒绝",E31="撤回",E31="已截止"),"已结束",IF(I31="","待设日期",IF(I31&lt;=$B$3,"需处理","已排期")))))</x:f>
        <x:v>需处理</x:v>
      </x:c>
      <x:c r="Q31" s="16" t="str">
        <x:v>https://careers.hactl.com/trainee/it-graduate-trainee/</x:v>
      </x:c>
    </x:row>
    <x:row r="32" ht="100" customHeight="1">
      <x:c r="A32" s="11" t="str">
        <x:v>A023</x:v>
      </x:c>
      <x:c r="B32" s="11" t="str">
        <x:v>CMB Wing Lung 招商永隆</x:v>
      </x:c>
      <x:c r="C32" s="11" t="str">
        <x:v>IT Graduate Trainee — Application Development</x:v>
      </x:c>
      <x:c r="D32" s="11" t="str">
        <x:v>08 | P1 核实后投</x:v>
      </x:c>
      <x:c r="E32" s="12" t="str">
        <x:v>待核实</x:v>
      </x:c>
      <x:c r="F32" s="13"/>
      <x:c r="G32" s="13"/>
      <x:c r="H32" s="13"/>
      <x:c r="I32" s="13" t="d">
        <x:v>2026-10-13T00:00:00.000Z</x:v>
      </x:c>
      <x:c r="J32" s="12" t="str">
        <x:v>B 技术GT·近期推进。只选Application Development；确认本轮接受2027到岗</x:v>
      </x:c>
      <x:c r="K32" s="12" t="str"/>
      <x:c r="L32" s="12" t="str">
        <x:v>A AI/工程</x:v>
      </x:c>
      <x:c r="M32" s="12"/>
      <x:c r="N32" s="12" t="str">
        <x:v>CS或相关本科；中英文；开发技术为加分项；具体签证及毕业窗口待核。未公布批次截止</x:v>
      </x:c>
      <x:c r="O32" s="18" t="str">
        <x:f>IF(OR(B32="",E32="待投",E32="待核实",E32="已截止",E32="不投",E32="暂缓",E32="Offer",E32="拒绝",E32="撤回"),"",IF(G32&lt;&gt;"",$B$3-G32,IF(F32&lt;&gt;"",$B$3-F32,"待补日期")))</x:f>
      </x:c>
      <x:c r="P32" s="11" t="str">
        <x:f>IF(B32="","",IF(OR(E32="不投",E32="暂缓"),"不提醒",IF(OR(E32="Offer",E32="拒绝",E32="撤回",E32="已截止"),"已结束",IF(I32="","待设日期",IF(I32&lt;=$B$3,"需处理","已排期")))))</x:f>
        <x:v>需处理</x:v>
      </x:c>
      <x:c r="Q32" s="16" t="str">
        <x:v>https://www.cmbwinglungbank.com/wlb_corporate/hk/about-us/careers/job-openings/it-graduate-trainee.html</x:v>
      </x:c>
    </x:row>
    <x:row r="33" ht="100" customHeight="1">
      <x:c r="A33" s="11" t="str">
        <x:v>A024</x:v>
      </x:c>
      <x:c r="B33" s="11" t="str">
        <x:v>China Unicom 中国联通（香港）</x:v>
      </x:c>
      <x:c r="C33" s="11" t="str">
        <x:v>2027 Graduate Trainee Program (HK) — 技术方向</x:v>
      </x:c>
      <x:c r="D33" s="11" t="str">
        <x:v>10 | P2 条件匹配</x:v>
      </x:c>
      <x:c r="E33" s="12" t="str">
        <x:v>待核实</x:v>
      </x:c>
      <x:c r="F33" s="13"/>
      <x:c r="G33" s="13"/>
      <x:c r="H33" s="13"/>
      <x:c r="I33" s="13" t="d">
        <x:v>2026-10-14T00:00:00.000Z</x:v>
      </x:c>
      <x:c r="J33" s="12" t="str">
        <x:v>B 技术GT·近期推进。先确认粤语和IANG取得时间，再确认可选择技术部门</x:v>
      </x:c>
      <x:c r="K33" s="12" t="str">
        <x:v>L0607875755</x:v>
      </x:c>
      <x:c r="L33" s="12" t="str">
        <x:v>A AI/工程</x:v>
      </x:c>
      <x:c r="M33" s="12"/>
      <x:c r="N33" s="12" t="str">
        <x:v>2026-2027毕业，硕士优先；明确要求英语、普通话、粤语及有效HK工作签证。雇主广告未列截止</x:v>
      </x:c>
      <x:c r="O33" s="18" t="str">
        <x:f>IF(OR(B33="",E33="待投",E33="待核实",E33="已截止",E33="不投",E33="暂缓",E33="Offer",E33="拒绝",E33="撤回"),"",IF(G33&lt;&gt;"",$B$3-G33,IF(F33&lt;&gt;"",$B$3-F33,"待补日期")))</x:f>
      </x:c>
      <x:c r="P33" s="11" t="str">
        <x:f>IF(B33="","",IF(OR(E33="不投",E33="暂缓"),"不提醒",IF(OR(E33="Offer",E33="拒绝",E33="撤回",E33="已截止"),"已结束",IF(I33="","待设日期",IF(I33&lt;=$B$3,"需处理","已排期")))))</x:f>
        <x:v>已排期</x:v>
      </x:c>
      <x:c r="Q33" s="16" t="str">
        <x:v>https://www.cuguplus.com/zh-hans/join-us-campus</x:v>
      </x:c>
    </x:row>
    <x:row r="34" ht="100" customHeight="1">
      <x:c r="A34" s="11" t="str">
        <x:v>A025</x:v>
      </x:c>
      <x:c r="B34" s="11" t="str">
        <x:v>Esri China (Hong Kong)</x:v>
      </x:c>
      <x:c r="C34" s="11" t="str">
        <x:v>Programmer（FG welcome）</x:v>
      </x:c>
      <x:c r="D34" s="11" t="str">
        <x:v>22 | P2 条件匹配</x:v>
      </x:c>
      <x:c r="E34" s="12" t="str">
        <x:v>待核实</x:v>
      </x:c>
      <x:c r="F34" s="13"/>
      <x:c r="G34" s="13"/>
      <x:c r="H34" s="13"/>
      <x:c r="I34" s="13" t="d">
        <x:v>2026-10-15T00:00:00.000Z</x:v>
      </x:c>
      <x:c r="J34" s="12" t="str">
        <x:v>D 匹配岗位·备选。核对已有Web/SQL技能与到岗日期；不用Analyst Programmer级别投</x:v>
      </x:c>
      <x:c r="K34" s="12" t="str"/>
      <x:c r="L34" s="12" t="str">
        <x:v>A AI/工程</x:v>
      </x:c>
      <x:c r="M34" s="12"/>
      <x:c r="N34" s="12" t="str">
        <x:v>CS/IT相关学位；.NET/C#或JavaScript框架、SQL；中英文；即刻到岗优先。未公布截止</x:v>
      </x:c>
      <x:c r="O34" s="18" t="str">
        <x:f>IF(OR(B34="",E34="待投",E34="待核实",E34="已截止",E34="不投",E34="暂缓",E34="Offer",E34="拒绝",E34="撤回"),"",IF(G34&lt;&gt;"",$B$3-G34,IF(F34&lt;&gt;"",$B$3-F34,"待补日期")))</x:f>
      </x:c>
      <x:c r="P34" s="11" t="str">
        <x:f>IF(B34="","",IF(OR(E34="不投",E34="暂缓"),"不提醒",IF(OR(E34="Offer",E34="拒绝",E34="撤回",E34="已截止"),"已结束",IF(I34="","待设日期",IF(I34&lt;=$B$3,"需处理","已排期")))))</x:f>
        <x:v>已排期</x:v>
      </x:c>
      <x:c r="Q34" s="16" t="str">
        <x:v>https://www.esrichina.hk/en-hk/about-esrichinahk/about/career-position/programmer</x:v>
      </x:c>
    </x:row>
    <x:row r="35" ht="32" customHeight="1">
      <x:c r="A35" s="11" t="str">
        <x:v>A026</x:v>
      </x:c>
      <x:c r="B35" s="11" t="str">
        <x:v>Deutsche Bank 德意志银行</x:v>
      </x:c>
      <x:c r="C35" s="11" t="str">
        <x:v>2027 Graduate Programme — Human Resources, Hong Kong</x:v>
      </x:c>
      <x:c r="D35" s="11" t="str">
        <x:v>01 | P1 优先</x:v>
      </x:c>
      <x:c r="E35" s="12" t="str">
        <x:v>待投</x:v>
      </x:c>
      <x:c r="F35" s="13"/>
      <x:c r="G35" s="13"/>
      <x:c r="H35" s="13"/>
      <x:c r="I35" s="13" t="d">
        <x:v>2026-10-12T00:00:00.000Z</x:v>
      </x:c>
      <x:c r="J35" s="12" t="str">
        <x:v>A 近期截止·优先轨道。10/12–10/14优先申请；写清HR动机及AI改善工作流程的经验</x:v>
      </x:c>
      <x:c r="K35" s="12"/>
      <x:c r="L35" s="12" t="str">
        <x:v>C Human Capital</x:v>
      </x:c>
      <x:c r="M35" s="12"/>
      <x:c r="N35" s="12" t="str">
        <x:v>2026.01–2027.07完成学业；2027.07可全职；相关全职经验不超过12个月；不限专业；新增外企；HR轮岗含Talent &amp; Development、Business Advisory、Performance &amp; Reward、Talent Acquisition。HR实习不是硬性要求；不代表录用容易。</x:v>
      </x:c>
      <x:c r="O35" s="18" t="str">
        <x:f>IF(OR(B35="",E35="待投",E35="待核实",E35="已截止",E35="不投",E35="暂缓",E35="Offer",E35="拒绝",E35="撤回"),"",IF(G35&lt;&gt;"",$B$3-G35,IF(F35&lt;&gt;"",$B$3-F35,"待补日期")))</x:f>
      </x:c>
      <x:c r="P35" s="11" t="str">
        <x:f>IF(B35="","",IF(OR(E35="不投",E35="暂缓"),"不提醒",IF(OR(E35="Offer",E35="拒绝",E35="撤回",E35="已截止"),"已结束",IF(I35="","待设日期",IF(I35&lt;=$B$3,"需处理","已排期")))))</x:f>
        <x:v>需处理</x:v>
      </x:c>
      <x:c r="Q35" s="16" t="str">
        <x:v>https://db.recsolu.com/jobs/4fQxGOwM3cG1Cv-t8jHcAA?locale=en</x:v>
      </x:c>
    </x:row>
    <x:row r="36" ht="32" customHeight="1">
      <x:c r="A36" s="11" t="str">
        <x:v>A027</x:v>
      </x:c>
      <x:c r="B36" s="11" t="str">
        <x:v>Lenovo / Lenovo PCCW Solutions</x:v>
      </x:c>
      <x:c r="C36" s="11" t="str">
        <x:v>GFL 2027 — Project Coordinator, Hybrid Cloud &amp; AI Strategy &amp; Operations</x:v>
      </x:c>
      <x:c r="D36" s="11" t="str">
        <x:v>03 | P1 条件匹配</x:v>
      </x:c>
      <x:c r="E36" s="12" t="str">
        <x:v>待投</x:v>
      </x:c>
      <x:c r="F36" s="13"/>
      <x:c r="G36" s="13"/>
      <x:c r="H36" s="13"/>
      <x:c r="I36" s="13" t="d">
        <x:v>2026-10-16T00:00:00.000Z</x:v>
      </x:c>
      <x:c r="J36" s="12" t="str">
        <x:v>A 近期截止·优先轨道。10/16前申请；用跨团队Agent交付例子；接受PMO/项目协调职责再投</x:v>
      </x:c>
      <x:c r="K36" s="12" t="str">
        <x:v>WD00104367</x:v>
      </x:c>
      <x:c r="L36" s="12" t="str">
        <x:v>B 企业IT/GT</x:v>
      </x:c>
      <x:c r="M36" s="12"/>
      <x:c r="N36" s="12" t="str">
        <x:v>相关本科/近期毕业；沟通、项目协调、PMO基础；需10–20%出差；AI赋能PMO与交付管理，不是纯AI研发。保留原岗位编号线索，提交时核对。</x:v>
      </x:c>
      <x:c r="O36" s="18" t="str">
        <x:f>IF(OR(B36="",E36="待投",E36="待核实",E36="已截止",E36="不投",E36="暂缓",E36="Offer",E36="拒绝",E36="撤回"),"",IF(G36&lt;&gt;"",$B$3-G36,IF(F36&lt;&gt;"",$B$3-F36,"待补日期")))</x:f>
      </x:c>
      <x:c r="P36" s="11" t="str">
        <x:f>IF(B36="","",IF(OR(E36="不投",E36="暂缓"),"不提醒",IF(OR(E36="Offer",E36="拒绝",E36="撤回",E36="已截止"),"已结束",IF(I36="","待设日期",IF(I36&lt;=$B$3,"需处理","已排期")))))</x:f>
        <x:v>已排期</x:v>
      </x:c>
      <x:c r="Q36" s="16" t="str">
        <x:v>https://hk.linkedin.com/jobs/view/project-coordinator-%E2%80%93-hybrid-cloud-ai-strategy-operations-global-future-leaders-program-2027-at-lenovo-4465117498</x:v>
      </x:c>
    </x:row>
    <x:row r="37" ht="32" customHeight="1">
      <x:c r="A37" s="11" t="str">
        <x:v>A028</x:v>
      </x:c>
      <x:c r="B37" s="11" t="str">
        <x:v>HAECO 港机集团</x:v>
      </x:c>
      <x:c r="C37" s="11" t="str">
        <x:v>Group Graduate Trainee Programme 2027 (Hong Kong) — Supporting Functions</x:v>
      </x:c>
      <x:c r="D37" s="11" t="str">
        <x:v>15 | P2 条件备选</x:v>
      </x:c>
      <x:c r="E37" s="12" t="str">
        <x:v>待核实</x:v>
      </x:c>
      <x:c r="F37" s="13"/>
      <x:c r="G37" s="13"/>
      <x:c r="H37" s="13"/>
      <x:c r="I37" s="13" t="d">
        <x:v>2026-10-20T00:00:00.000Z</x:v>
      </x:c>
      <x:c r="J37" s="12" t="str">
        <x:v>C 有截止·备选。先核实Supporting Functions中是否有IT/HR/数字改进名额；无则仅综合GT备选</x:v>
      </x:c>
      <x:c r="K37" s="12" t="str">
        <x:v>1184</x:v>
      </x:c>
      <x:c r="L37" s="12" t="str">
        <x:v>B 企业IT/GT</x:v>
      </x:c>
      <x:c r="M37" s="12"/>
      <x:c r="N37" s="12" t="str">
        <x:v>任何专业；应届或少于2年工作经验；看重商业意识及沟通；新增大型企业；官网只确认Supporting Functions，不保证IT或HC定岗。JD：https://careers.haeco.com/job/Airport-area-HAECO-Group-Graduate-Trainee-Programme-2027-(Hong-Kong)/1366966666/</x:v>
      </x:c>
      <x:c r="O37" s="18" t="str">
        <x:f>IF(OR(B37="",E37="待投",E37="待核实",E37="已截止",E37="不投",E37="暂缓",E37="Offer",E37="拒绝",E37="撤回"),"",IF(G37&lt;&gt;"",$B$3-G37,IF(F37&lt;&gt;"",$B$3-F37,"待补日期")))</x:f>
      </x:c>
      <x:c r="P37" s="11" t="str">
        <x:f>IF(B37="","",IF(OR(E37="不投",E37="暂缓"),"不提醒",IF(OR(E37="Offer",E37="拒绝",E37="撤回",E37="已截止"),"已结束",IF(I37="","待设日期",IF(I37&lt;=$B$3,"需处理","已排期")))))</x:f>
        <x:v>已排期</x:v>
      </x:c>
      <x:c r="Q37" s="16" t="str">
        <x:v>https://www.haeco.com/en/careers/trainee-programme/graduate-trainee-programme</x:v>
      </x:c>
    </x:row>
    <x:row r="38" ht="32" customHeight="1">
      <x:c r="A38" s="11" t="str">
        <x:v>A029</x:v>
      </x:c>
      <x:c r="B38" s="11" t="str">
        <x:v>BOCI 中银国际（非BOCHK）</x:v>
      </x:c>
      <x:c r="C38" s="11" t="str">
        <x:v>2027 Management Trainee — Information Technology Focused</x:v>
      </x:c>
      <x:c r="D38" s="11" t="str">
        <x:v>12 | P1 先核实名额</x:v>
      </x:c>
      <x:c r="E38" s="12" t="str">
        <x:v>待核实</x:v>
      </x:c>
      <x:c r="F38" s="13"/>
      <x:c r="G38" s="13"/>
      <x:c r="H38" s="13"/>
      <x:c r="I38" s="13" t="d">
        <x:v>2026-10-12T00:00:00.000Z</x:v>
      </x:c>
      <x:c r="J38" s="12" t="str">
        <x:v>B 技术GT·近期推进。先核实官网Apply是否仍接受本轮；只可申请一个BOCI MT岗位；如开放再准备中英文CV及成绩单</x:v>
      </x:c>
      <x:c r="K38" s="12"/>
      <x:c r="L38" s="12" t="str">
        <x:v>B 企业IT/GT</x:v>
      </x:c>
      <x:c r="M38" s="12"/>
      <x:c r="N38" s="12" t="str">
        <x:v>Data Science明确可报；2026.01–2027.07毕业；最高学历毕业后无全职经验；中英文；新增，与用户不投的BOCHK不同。Human Resources是发布分类；岗位轮转实际在IT。雇主JD：https://hk.linkedin.com/jobs/view/2027-management-trainee-programme-information-technology-focused-at-boci-4461936819</x:v>
      </x:c>
      <x:c r="O38" s="18" t="str">
        <x:f>IF(OR(B38="",E38="待投",E38="待核实",E38="已截止",E38="不投",E38="暂缓",E38="Offer",E38="拒绝",E38="撤回"),"",IF(G38&lt;&gt;"",$B$3-G38,IF(F38&lt;&gt;"",$B$3-F38,"待补日期")))</x:f>
      </x:c>
      <x:c r="P38" s="11" t="str">
        <x:f>IF(B38="","",IF(OR(E38="不投",E38="暂缓"),"不提醒",IF(OR(E38="Offer",E38="拒绝",E38="撤回",E38="已截止"),"已结束",IF(I38="","待设日期",IF(I38&lt;=$B$3,"需处理","已排期")))))</x:f>
        <x:v>需处理</x:v>
      </x:c>
      <x:c r="Q38" s="16" t="str">
        <x:v>https://boci.recruitmentplatform.com/</x:v>
      </x:c>
    </x:row>
    <x:row r="39" ht="32" customHeight="1">
      <x:c r="A39" s="11" t="str">
        <x:v>A030</x:v>
      </x:c>
      <x:c r="B39" s="11" t="str">
        <x:v>MUFG 三菱日联</x:v>
      </x:c>
      <x:c r="C39" s="11" t="str">
        <x:v>Analyst Programme 2027 — Corporate Functions, Hong Kong</x:v>
      </x:c>
      <x:c r="D39" s="11" t="str">
        <x:v>16 | P3 大型外企备选</x:v>
      </x:c>
      <x:c r="E39" s="12" t="str">
        <x:v>暂缓</x:v>
      </x:c>
      <x:c r="F39" s="13"/>
      <x:c r="G39" s="13"/>
      <x:c r="H39" s="13"/>
      <x:c r="I39" s="13"/>
      <x:c r="J39" s="12" t="str">
        <x:v>C 有截止·备选。仅在接受Operations/Risk/Finance/Transformation轮岗时投；不要当作HC或IT保底</x:v>
      </x:c>
      <x:c r="K39" s="12" t="str">
        <x:v>10079443-WD-1</x:v>
      </x:c>
      <x:c r="L39" s="12" t="str">
        <x:v>B 企业IT/GT</x:v>
      </x:c>
      <x:c r="M39" s="12"/>
      <x:c r="N39" s="12" t="str">
        <x:v>本科以上；毕业后全职经验少于1年；英语及中文（粤语和/或普通话）；两年轮岗；分配依业务需求。雇主完整JD：https://hk.linkedin.com/jobs/view/mufg-analyst-programme-2027-%E2%80%93-corporate-functions-at-mufg-4465731640</x:v>
      </x:c>
      <x:c r="O39" s="18" t="str">
        <x:f>IF(OR(B39="",E39="待投",E39="待核实",E39="已截止",E39="不投",E39="暂缓",E39="Offer",E39="拒绝",E39="撤回"),"",IF(G39&lt;&gt;"",$B$3-G39,IF(F39&lt;&gt;"",$B$3-F39,"待补日期")))</x:f>
      </x:c>
      <x:c r="P39" s="11" t="str">
        <x:f>IF(B39="","",IF(OR(E39="不投",E39="暂缓"),"不提醒",IF(OR(E39="Offer",E39="拒绝",E39="撤回",E39="已截止"),"已结束",IF(I39="","待设日期",IF(I39&lt;=$B$3,"需处理","已排期")))))</x:f>
        <x:v>不提醒</x:v>
      </x:c>
      <x:c r="Q39" s="16" t="str">
        <x:v>https://mufgub.wd3.myworkdayjobs.com/en-US/MUFG-Careers/job/Hong-Kong---Airside/MUFG-Analyst-Programme-2027---Corporate-Functions_10079443-WD-1</x:v>
      </x:c>
    </x:row>
    <x:row r="40" ht="32" customHeight="1">
      <x:c r="A40" s="11" t="str">
        <x:v>A031</x:v>
      </x:c>
      <x:c r="B40" s="11" t="str">
        <x:v>Tiger Trade</x:v>
      </x:c>
      <x:c r="C40" s="11" t="str">
        <x:v>AI FG 2027（用户简称）</x:v>
      </x:c>
      <x:c r="D40" s="11" t="str">
        <x:v>已投 跟进</x:v>
      </x:c>
      <x:c r="E40" s="12" t="str">
        <x:v>已投无回复</x:v>
      </x:c>
      <x:c r="F40" s="13" t="d">
        <x:v>2026-10-11T00:00:00.000Z</x:v>
      </x:c>
      <x:c r="G40" s="13" t="d">
        <x:v>2026-10-11T00:00:00.000Z</x:v>
      </x:c>
      <x:c r="H40" s="13"/>
      <x:c r="I40" s="13"/>
      <x:c r="J40" s="12" t="str">
        <x:v>保存申请确认邮件及编号；等待后续通知</x:v>
      </x:c>
      <x:c r="K40" s="12"/>
      <x:c r="L40" s="12"/>
      <x:c r="M40" s="12"/>
      <x:c r="N40" s="12" t="str">
        <x:v>2026-10-11用户：刚投Tiger Trade的AI FG 2027，暂无回应。正式职位名称、岗位编号与链接待补。</x:v>
      </x:c>
      <x:c r="O40" s="18" t="n">
        <x:f>IF(OR(B40="",E40="待投",E40="待核实",E40="已截止",E40="不投",E40="暂缓",E40="Offer",E40="拒绝",E40="撤回"),"",IF(G40&lt;&gt;"",$B$3-G40,IF(F40&lt;&gt;"",$B$3-F40,"待补日期")))</x:f>
        <x:v>2</x:v>
      </x:c>
      <x:c r="P40" s="11" t="str">
        <x:f>IF(B40="","",IF(OR(E40="不投",E40="暂缓"),"不提醒",IF(OR(E40="Offer",E40="拒绝",E40="撤回",E40="已截止"),"已结束",IF(I40="","待设日期",IF(I40&lt;=$B$3,"需处理","已排期")))))</x:f>
        <x:v>待设日期</x:v>
      </x:c>
      <x:c r="Q40" s="16"/>
    </x:row>
    <x:row r="41" ht="32" customHeight="1">
      <x:c r="A41" s="11"/>
      <x:c r="B41" s="11"/>
      <x:c r="C41" s="11"/>
      <x:c r="D41" s="11"/>
      <x:c r="E41" s="12"/>
      <x:c r="F41" s="13"/>
      <x:c r="G41" s="13"/>
      <x:c r="H41" s="13"/>
      <x:c r="I41" s="13"/>
      <x:c r="J41" s="12"/>
      <x:c r="K41" s="12"/>
      <x:c r="L41" s="12"/>
      <x:c r="M41" s="12"/>
      <x:c r="N41" s="12"/>
      <x:c r="O41" s="14" t="str">
        <x:f>IF(OR(B41="",E41="待投",E41="待核实",E41="已截止",E41="不投",E41="暂缓",E41="Offer",E41="拒绝",E41="撤回"),"",IF(G41&lt;&gt;"",$B$3-G41,IF(F41&lt;&gt;"",$B$3-F41,"待补日期")))</x:f>
      </x:c>
      <x:c r="P41" s="2" t="str">
        <x:f>IF(B41="","",IF(OR(E41="不投",E41="暂缓"),"不提醒",IF(OR(E41="Offer",E41="拒绝",E41="撤回",E41="已截止"),"已结束",IF(I41="","待设日期",IF(I41&lt;=$B$3,"需处理","已排期")))))</x:f>
      </x:c>
      <x:c r="Q41" s="2"/>
    </x:row>
    <x:row r="42" ht="32" customHeight="1">
      <x:c r="A42" s="11"/>
      <x:c r="B42" s="11"/>
      <x:c r="C42" s="11"/>
      <x:c r="D42" s="11"/>
      <x:c r="E42" s="12"/>
      <x:c r="F42" s="13"/>
      <x:c r="G42" s="13"/>
      <x:c r="H42" s="13"/>
      <x:c r="I42" s="13"/>
      <x:c r="J42" s="12"/>
      <x:c r="K42" s="12"/>
      <x:c r="L42" s="12"/>
      <x:c r="M42" s="12"/>
      <x:c r="N42" s="12"/>
      <x:c r="O42" s="14" t="str">
        <x:f>IF(OR(B42="",E42="待投",E42="待核实",E42="已截止",E42="不投",E42="暂缓",E42="Offer",E42="拒绝",E42="撤回"),"",IF(G42&lt;&gt;"",$B$3-G42,IF(F42&lt;&gt;"",$B$3-F42,"待补日期")))</x:f>
      </x:c>
      <x:c r="P42" s="2" t="str">
        <x:f>IF(B42="","",IF(OR(E42="不投",E42="暂缓"),"不提醒",IF(OR(E42="Offer",E42="拒绝",E42="撤回",E42="已截止"),"已结束",IF(I42="","待设日期",IF(I42&lt;=$B$3,"需处理","已排期")))))</x:f>
      </x:c>
      <x:c r="Q42" s="2"/>
    </x:row>
    <x:row r="43" ht="32" customHeight="1">
      <x:c r="A43" s="11"/>
      <x:c r="B43" s="11"/>
      <x:c r="C43" s="11"/>
      <x:c r="D43" s="11"/>
      <x:c r="E43" s="12"/>
      <x:c r="F43" s="13"/>
      <x:c r="G43" s="13"/>
      <x:c r="H43" s="13"/>
      <x:c r="I43" s="13"/>
      <x:c r="J43" s="12"/>
      <x:c r="K43" s="12"/>
      <x:c r="L43" s="12"/>
      <x:c r="M43" s="12"/>
      <x:c r="N43" s="12"/>
      <x:c r="O43" s="14" t="str">
        <x:f>IF(OR(B43="",E43="待投",E43="待核实",E43="已截止",E43="不投",E43="暂缓",E43="Offer",E43="拒绝",E43="撤回"),"",IF(G43&lt;&gt;"",$B$3-G43,IF(F43&lt;&gt;"",$B$3-F43,"待补日期")))</x:f>
      </x:c>
      <x:c r="P43" s="2" t="str">
        <x:f>IF(B43="","",IF(OR(E43="不投",E43="暂缓"),"不提醒",IF(OR(E43="Offer",E43="拒绝",E43="撤回",E43="已截止"),"已结束",IF(I43="","待设日期",IF(I43&lt;=$B$3,"需处理","已排期")))))</x:f>
      </x:c>
      <x:c r="Q43" s="2"/>
    </x:row>
    <x:row r="44" ht="32" customHeight="1">
      <x:c r="A44" s="11"/>
      <x:c r="B44" s="11"/>
      <x:c r="C44" s="11"/>
      <x:c r="D44" s="11"/>
      <x:c r="E44" s="12"/>
      <x:c r="F44" s="13"/>
      <x:c r="G44" s="13"/>
      <x:c r="H44" s="13"/>
      <x:c r="I44" s="13"/>
      <x:c r="J44" s="12"/>
      <x:c r="K44" s="12"/>
      <x:c r="L44" s="12"/>
      <x:c r="M44" s="12"/>
      <x:c r="N44" s="12"/>
      <x:c r="O44" s="14" t="str">
        <x:f>IF(OR(B44="",E44="待投",E44="待核实",E44="已截止",E44="不投",E44="暂缓",E44="Offer",E44="拒绝",E44="撤回"),"",IF(G44&lt;&gt;"",$B$3-G44,IF(F44&lt;&gt;"",$B$3-F44,"待补日期")))</x:f>
      </x:c>
      <x:c r="P44" s="2" t="str">
        <x:f>IF(B44="","",IF(OR(E44="不投",E44="暂缓"),"不提醒",IF(OR(E44="Offer",E44="拒绝",E44="撤回",E44="已截止"),"已结束",IF(I44="","待设日期",IF(I44&lt;=$B$3,"需处理","已排期")))))</x:f>
      </x:c>
      <x:c r="Q44" s="2"/>
    </x:row>
    <x:row r="45" ht="32" customHeight="1">
      <x:c r="A45" s="11"/>
      <x:c r="B45" s="11"/>
      <x:c r="C45" s="11"/>
      <x:c r="D45" s="11"/>
      <x:c r="E45" s="12"/>
      <x:c r="F45" s="13"/>
      <x:c r="G45" s="13"/>
      <x:c r="H45" s="13"/>
      <x:c r="I45" s="13"/>
      <x:c r="J45" s="12"/>
      <x:c r="K45" s="12"/>
      <x:c r="L45" s="12"/>
      <x:c r="M45" s="12"/>
      <x:c r="N45" s="12"/>
      <x:c r="O45" s="14" t="str">
        <x:f>IF(OR(B45="",E45="待投",E45="待核实",E45="已截止",E45="不投",E45="暂缓",E45="Offer",E45="拒绝",E45="撤回"),"",IF(G45&lt;&gt;"",$B$3-G45,IF(F45&lt;&gt;"",$B$3-F45,"待补日期")))</x:f>
      </x:c>
      <x:c r="P45" s="2" t="str">
        <x:f>IF(B45="","",IF(OR(E45="不投",E45="暂缓"),"不提醒",IF(OR(E45="Offer",E45="拒绝",E45="撤回",E45="已截止"),"已结束",IF(I45="","待设日期",IF(I45&lt;=$B$3,"需处理","已排期")))))</x:f>
      </x:c>
      <x:c r="Q45" s="2"/>
    </x:row>
    <x:row r="46" ht="32" customHeight="1">
      <x:c r="A46" s="11"/>
      <x:c r="B46" s="11"/>
      <x:c r="C46" s="11"/>
      <x:c r="D46" s="11"/>
      <x:c r="E46" s="12"/>
      <x:c r="F46" s="13"/>
      <x:c r="G46" s="13"/>
      <x:c r="H46" s="13"/>
      <x:c r="I46" s="13"/>
      <x:c r="J46" s="12"/>
      <x:c r="K46" s="12"/>
      <x:c r="L46" s="12"/>
      <x:c r="M46" s="12"/>
      <x:c r="N46" s="12"/>
      <x:c r="O46" s="14" t="str">
        <x:f>IF(OR(B46="",E46="待投",E46="待核实",E46="已截止",E46="不投",E46="暂缓",E46="Offer",E46="拒绝",E46="撤回"),"",IF(G46&lt;&gt;"",$B$3-G46,IF(F46&lt;&gt;"",$B$3-F46,"待补日期")))</x:f>
      </x:c>
      <x:c r="P46" s="2" t="str">
        <x:f>IF(B46="","",IF(OR(E46="不投",E46="暂缓"),"不提醒",IF(OR(E46="Offer",E46="拒绝",E46="撤回",E46="已截止"),"已结束",IF(I46="","待设日期",IF(I46&lt;=$B$3,"需处理","已排期")))))</x:f>
      </x:c>
      <x:c r="Q46" s="2"/>
    </x:row>
    <x:row r="47" ht="32" customHeight="1">
      <x:c r="A47" s="11"/>
      <x:c r="B47" s="11"/>
      <x:c r="C47" s="11"/>
      <x:c r="D47" s="11"/>
      <x:c r="E47" s="12"/>
      <x:c r="F47" s="13"/>
      <x:c r="G47" s="13"/>
      <x:c r="H47" s="13"/>
      <x:c r="I47" s="13"/>
      <x:c r="J47" s="12"/>
      <x:c r="K47" s="12"/>
      <x:c r="L47" s="12"/>
      <x:c r="M47" s="12"/>
      <x:c r="N47" s="12"/>
      <x:c r="O47" s="14" t="str">
        <x:f>IF(OR(B47="",E47="待投",E47="待核实",E47="已截止",E47="不投",E47="暂缓",E47="Offer",E47="拒绝",E47="撤回"),"",IF(G47&lt;&gt;"",$B$3-G47,IF(F47&lt;&gt;"",$B$3-F47,"待补日期")))</x:f>
      </x:c>
      <x:c r="P47" s="2" t="str">
        <x:f>IF(B47="","",IF(OR(E47="不投",E47="暂缓"),"不提醒",IF(OR(E47="Offer",E47="拒绝",E47="撤回",E47="已截止"),"已结束",IF(I47="","待设日期",IF(I47&lt;=$B$3,"需处理","已排期")))))</x:f>
      </x:c>
      <x:c r="Q47" s="2"/>
    </x:row>
    <x:row r="48" ht="32" customHeight="1">
      <x:c r="A48" s="11"/>
      <x:c r="B48" s="11"/>
      <x:c r="C48" s="11"/>
      <x:c r="D48" s="11"/>
      <x:c r="E48" s="12"/>
      <x:c r="F48" s="13"/>
      <x:c r="G48" s="13"/>
      <x:c r="H48" s="13"/>
      <x:c r="I48" s="13"/>
      <x:c r="J48" s="12"/>
      <x:c r="K48" s="12"/>
      <x:c r="L48" s="12"/>
      <x:c r="M48" s="12"/>
      <x:c r="N48" s="12"/>
      <x:c r="O48" s="14" t="str">
        <x:f>IF(OR(B48="",E48="待投",E48="待核实",E48="已截止",E48="不投",E48="暂缓",E48="Offer",E48="拒绝",E48="撤回"),"",IF(G48&lt;&gt;"",$B$3-G48,IF(F48&lt;&gt;"",$B$3-F48,"待补日期")))</x:f>
      </x:c>
      <x:c r="P48" s="2" t="str">
        <x:f>IF(B48="","",IF(OR(E48="不投",E48="暂缓"),"不提醒",IF(OR(E48="Offer",E48="拒绝",E48="撤回",E48="已截止"),"已结束",IF(I48="","待设日期",IF(I48&lt;=$B$3,"需处理","已排期")))))</x:f>
      </x:c>
      <x:c r="Q48" s="2"/>
    </x:row>
    <x:row r="49" ht="32" customHeight="1">
      <x:c r="A49" s="11"/>
      <x:c r="B49" s="11"/>
      <x:c r="C49" s="11"/>
      <x:c r="D49" s="11"/>
      <x:c r="E49" s="12"/>
      <x:c r="F49" s="13"/>
      <x:c r="G49" s="13"/>
      <x:c r="H49" s="13"/>
      <x:c r="I49" s="13"/>
      <x:c r="J49" s="12"/>
      <x:c r="K49" s="12"/>
      <x:c r="L49" s="12"/>
      <x:c r="M49" s="12"/>
      <x:c r="N49" s="12"/>
      <x:c r="O49" s="14" t="str">
        <x:f>IF(OR(B49="",E49="待投",E49="待核实",E49="已截止",E49="不投",E49="暂缓",E49="Offer",E49="拒绝",E49="撤回"),"",IF(G49&lt;&gt;"",$B$3-G49,IF(F49&lt;&gt;"",$B$3-F49,"待补日期")))</x:f>
      </x:c>
      <x:c r="P49" s="2" t="str">
        <x:f>IF(B49="","",IF(OR(E49="不投",E49="暂缓"),"不提醒",IF(OR(E49="Offer",E49="拒绝",E49="撤回",E49="已截止"),"已结束",IF(I49="","待设日期",IF(I49&lt;=$B$3,"需处理","已排期")))))</x:f>
      </x:c>
      <x:c r="Q49" s="2"/>
    </x:row>
    <x:row r="50" ht="32" customHeight="1">
      <x:c r="A50" s="11"/>
      <x:c r="B50" s="11"/>
      <x:c r="C50" s="11"/>
      <x:c r="D50" s="11"/>
      <x:c r="E50" s="12"/>
      <x:c r="F50" s="13"/>
      <x:c r="G50" s="13"/>
      <x:c r="H50" s="13"/>
      <x:c r="I50" s="13"/>
      <x:c r="J50" s="12"/>
      <x:c r="K50" s="12"/>
      <x:c r="L50" s="12"/>
      <x:c r="M50" s="12"/>
      <x:c r="N50" s="12"/>
      <x:c r="O50" s="14" t="str">
        <x:f>IF(OR(B50="",E50="待投",E50="待核实",E50="已截止",E50="不投",E50="暂缓",E50="Offer",E50="拒绝",E50="撤回"),"",IF(G50&lt;&gt;"",$B$3-G50,IF(F50&lt;&gt;"",$B$3-F50,"待补日期")))</x:f>
      </x:c>
      <x:c r="P50" s="2" t="str">
        <x:f>IF(B50="","",IF(OR(E50="不投",E50="暂缓"),"不提醒",IF(OR(E50="Offer",E50="拒绝",E50="撤回",E50="已截止"),"已结束",IF(I50="","待设日期",IF(I50&lt;=$B$3,"需处理","已排期")))))</x:f>
      </x:c>
      <x:c r="Q50" s="2"/>
    </x:row>
    <x:row r="51" ht="32" customHeight="1">
      <x:c r="A51" s="11"/>
      <x:c r="B51" s="11"/>
      <x:c r="C51" s="11"/>
      <x:c r="D51" s="11"/>
      <x:c r="E51" s="12"/>
      <x:c r="F51" s="13"/>
      <x:c r="G51" s="13"/>
      <x:c r="H51" s="13"/>
      <x:c r="I51" s="13"/>
      <x:c r="J51" s="12"/>
      <x:c r="K51" s="12"/>
      <x:c r="L51" s="12"/>
      <x:c r="M51" s="12"/>
      <x:c r="N51" s="12"/>
      <x:c r="O51" s="14" t="str">
        <x:f>IF(OR(B51="",E51="待投",E51="待核实",E51="已截止",E51="不投",E51="暂缓",E51="Offer",E51="拒绝",E51="撤回"),"",IF(G51&lt;&gt;"",$B$3-G51,IF(F51&lt;&gt;"",$B$3-F51,"待补日期")))</x:f>
      </x:c>
      <x:c r="P51" s="2" t="str">
        <x:f>IF(B51="","",IF(OR(E51="不投",E51="暂缓"),"不提醒",IF(OR(E51="Offer",E51="拒绝",E51="撤回",E51="已截止"),"已结束",IF(I51="","待设日期",IF(I51&lt;=$B$3,"需处理","已排期")))))</x:f>
      </x:c>
      <x:c r="Q51" s="2"/>
    </x:row>
    <x:row r="52" ht="32" customHeight="1">
      <x:c r="A52" s="11"/>
      <x:c r="B52" s="11"/>
      <x:c r="C52" s="11"/>
      <x:c r="D52" s="11"/>
      <x:c r="E52" s="12"/>
      <x:c r="F52" s="13"/>
      <x:c r="G52" s="13"/>
      <x:c r="H52" s="13"/>
      <x:c r="I52" s="13"/>
      <x:c r="J52" s="12"/>
      <x:c r="K52" s="12"/>
      <x:c r="L52" s="12"/>
      <x:c r="M52" s="12"/>
      <x:c r="N52" s="12"/>
      <x:c r="O52" s="14" t="str">
        <x:f>IF(OR(B52="",E52="待投",E52="待核实",E52="已截止",E52="不投",E52="暂缓",E52="Offer",E52="拒绝",E52="撤回"),"",IF(G52&lt;&gt;"",$B$3-G52,IF(F52&lt;&gt;"",$B$3-F52,"待补日期")))</x:f>
      </x:c>
      <x:c r="P52" s="2" t="str">
        <x:f>IF(B52="","",IF(OR(E52="不投",E52="暂缓"),"不提醒",IF(OR(E52="Offer",E52="拒绝",E52="撤回",E52="已截止"),"已结束",IF(I52="","待设日期",IF(I52&lt;=$B$3,"需处理","已排期")))))</x:f>
      </x:c>
      <x:c r="Q52" s="2"/>
    </x:row>
    <x:row r="53" ht="32" customHeight="1">
      <x:c r="A53" s="11"/>
      <x:c r="B53" s="11"/>
      <x:c r="C53" s="11"/>
      <x:c r="D53" s="11"/>
      <x:c r="E53" s="12"/>
      <x:c r="F53" s="13"/>
      <x:c r="G53" s="13"/>
      <x:c r="H53" s="13"/>
      <x:c r="I53" s="13"/>
      <x:c r="J53" s="12"/>
      <x:c r="K53" s="12"/>
      <x:c r="L53" s="12"/>
      <x:c r="M53" s="12"/>
      <x:c r="N53" s="12"/>
      <x:c r="O53" s="14" t="str">
        <x:f>IF(OR(B53="",E53="待投",E53="待核实",E53="已截止",E53="不投",E53="暂缓",E53="Offer",E53="拒绝",E53="撤回"),"",IF(G53&lt;&gt;"",$B$3-G53,IF(F53&lt;&gt;"",$B$3-F53,"待补日期")))</x:f>
      </x:c>
      <x:c r="P53" s="2" t="str">
        <x:f>IF(B53="","",IF(OR(E53="不投",E53="暂缓"),"不提醒",IF(OR(E53="Offer",E53="拒绝",E53="撤回",E53="已截止"),"已结束",IF(I53="","待设日期",IF(I53&lt;=$B$3,"需处理","已排期")))))</x:f>
      </x:c>
      <x:c r="Q53" s="2"/>
    </x:row>
    <x:row r="54" ht="32" customHeight="1">
      <x:c r="A54" s="11"/>
      <x:c r="B54" s="11"/>
      <x:c r="C54" s="11"/>
      <x:c r="D54" s="11"/>
      <x:c r="E54" s="12"/>
      <x:c r="F54" s="13"/>
      <x:c r="G54" s="13"/>
      <x:c r="H54" s="13"/>
      <x:c r="I54" s="13"/>
      <x:c r="J54" s="12"/>
      <x:c r="K54" s="12"/>
      <x:c r="L54" s="12"/>
      <x:c r="M54" s="12"/>
      <x:c r="N54" s="12"/>
      <x:c r="O54" s="14" t="str">
        <x:f>IF(OR(B54="",E54="待投",E54="待核实",E54="已截止",E54="不投",E54="暂缓",E54="Offer",E54="拒绝",E54="撤回"),"",IF(G54&lt;&gt;"",$B$3-G54,IF(F54&lt;&gt;"",$B$3-F54,"待补日期")))</x:f>
      </x:c>
      <x:c r="P54" s="2" t="str">
        <x:f>IF(B54="","",IF(OR(E54="不投",E54="暂缓"),"不提醒",IF(OR(E54="Offer",E54="拒绝",E54="撤回",E54="已截止"),"已结束",IF(I54="","待设日期",IF(I54&lt;=$B$3,"需处理","已排期")))))</x:f>
      </x:c>
      <x:c r="Q54" s="2"/>
    </x:row>
    <x:row r="55" ht="32" customHeight="1">
      <x:c r="A55" s="11"/>
      <x:c r="B55" s="11"/>
      <x:c r="C55" s="11"/>
      <x:c r="D55" s="11"/>
      <x:c r="E55" s="12"/>
      <x:c r="F55" s="13"/>
      <x:c r="G55" s="13"/>
      <x:c r="H55" s="13"/>
      <x:c r="I55" s="13"/>
      <x:c r="J55" s="12"/>
      <x:c r="K55" s="12"/>
      <x:c r="L55" s="12"/>
      <x:c r="M55" s="12"/>
      <x:c r="N55" s="12"/>
      <x:c r="O55" s="14" t="str">
        <x:f>IF(OR(B55="",E55="待投",E55="待核实",E55="已截止",E55="不投",E55="暂缓",E55="Offer",E55="拒绝",E55="撤回"),"",IF(G55&lt;&gt;"",$B$3-G55,IF(F55&lt;&gt;"",$B$3-F55,"待补日期")))</x:f>
      </x:c>
      <x:c r="P55" s="2" t="str">
        <x:f>IF(B55="","",IF(OR(E55="不投",E55="暂缓"),"不提醒",IF(OR(E55="Offer",E55="拒绝",E55="撤回",E55="已截止"),"已结束",IF(I55="","待设日期",IF(I55&lt;=$B$3,"需处理","已排期")))))</x:f>
      </x:c>
      <x:c r="Q55" s="2"/>
    </x:row>
    <x:row r="56" ht="32" customHeight="1">
      <x:c r="A56" s="11"/>
      <x:c r="B56" s="11"/>
      <x:c r="C56" s="11"/>
      <x:c r="D56" s="11"/>
      <x:c r="E56" s="12"/>
      <x:c r="F56" s="13"/>
      <x:c r="G56" s="13"/>
      <x:c r="H56" s="13"/>
      <x:c r="I56" s="13"/>
      <x:c r="J56" s="12"/>
      <x:c r="K56" s="12"/>
      <x:c r="L56" s="12"/>
      <x:c r="M56" s="12"/>
      <x:c r="N56" s="12"/>
      <x:c r="O56" s="14" t="str">
        <x:f>IF(OR(B56="",E56="待投",E56="待核实",E56="已截止",E56="不投",E56="暂缓",E56="Offer",E56="拒绝",E56="撤回"),"",IF(G56&lt;&gt;"",$B$3-G56,IF(F56&lt;&gt;"",$B$3-F56,"待补日期")))</x:f>
      </x:c>
      <x:c r="P56" s="2" t="str">
        <x:f>IF(B56="","",IF(OR(E56="不投",E56="暂缓"),"不提醒",IF(OR(E56="Offer",E56="拒绝",E56="撤回",E56="已截止"),"已结束",IF(I56="","待设日期",IF(I56&lt;=$B$3,"需处理","已排期")))))</x:f>
      </x:c>
      <x:c r="Q56" s="2"/>
    </x:row>
    <x:row r="57" ht="32" customHeight="1">
      <x:c r="A57" s="11"/>
      <x:c r="B57" s="11"/>
      <x:c r="C57" s="11"/>
      <x:c r="D57" s="11"/>
      <x:c r="E57" s="12"/>
      <x:c r="F57" s="13"/>
      <x:c r="G57" s="13"/>
      <x:c r="H57" s="13"/>
      <x:c r="I57" s="13"/>
      <x:c r="J57" s="12"/>
      <x:c r="K57" s="12"/>
      <x:c r="L57" s="12"/>
      <x:c r="M57" s="12"/>
      <x:c r="N57" s="12"/>
      <x:c r="O57" s="14" t="str">
        <x:f>IF(OR(B57="",E57="待投",E57="待核实",E57="已截止",E57="不投",E57="暂缓",E57="Offer",E57="拒绝",E57="撤回"),"",IF(G57&lt;&gt;"",$B$3-G57,IF(F57&lt;&gt;"",$B$3-F57,"待补日期")))</x:f>
      </x:c>
      <x:c r="P57" s="2" t="str">
        <x:f>IF(B57="","",IF(OR(E57="不投",E57="暂缓"),"不提醒",IF(OR(E57="Offer",E57="拒绝",E57="撤回",E57="已截止"),"已结束",IF(I57="","待设日期",IF(I57&lt;=$B$3,"需处理","已排期")))))</x:f>
      </x:c>
      <x:c r="Q57" s="2"/>
    </x:row>
    <x:row r="58" ht="32" customHeight="1">
      <x:c r="A58" s="11"/>
      <x:c r="B58" s="11"/>
      <x:c r="C58" s="11"/>
      <x:c r="D58" s="11"/>
      <x:c r="E58" s="12"/>
      <x:c r="F58" s="13"/>
      <x:c r="G58" s="13"/>
      <x:c r="H58" s="13"/>
      <x:c r="I58" s="13"/>
      <x:c r="J58" s="12"/>
      <x:c r="K58" s="12"/>
      <x:c r="L58" s="12"/>
      <x:c r="M58" s="12"/>
      <x:c r="N58" s="12"/>
      <x:c r="O58" s="14" t="str">
        <x:f>IF(OR(B58="",E58="待投",E58="待核实",E58="已截止",E58="不投",E58="暂缓",E58="Offer",E58="拒绝",E58="撤回"),"",IF(G58&lt;&gt;"",$B$3-G58,IF(F58&lt;&gt;"",$B$3-F58,"待补日期")))</x:f>
      </x:c>
      <x:c r="P58" s="2" t="str">
        <x:f>IF(B58="","",IF(OR(E58="不投",E58="暂缓"),"不提醒",IF(OR(E58="Offer",E58="拒绝",E58="撤回",E58="已截止"),"已结束",IF(I58="","待设日期",IF(I58&lt;=$B$3,"需处理","已排期")))))</x:f>
      </x:c>
      <x:c r="Q58" s="2"/>
    </x:row>
    <x:row r="59" ht="32" customHeight="1">
      <x:c r="A59" s="11"/>
      <x:c r="B59" s="11"/>
      <x:c r="C59" s="11"/>
      <x:c r="D59" s="11"/>
      <x:c r="E59" s="12"/>
      <x:c r="F59" s="13"/>
      <x:c r="G59" s="13"/>
      <x:c r="H59" s="13"/>
      <x:c r="I59" s="13"/>
      <x:c r="J59" s="12"/>
      <x:c r="K59" s="12"/>
      <x:c r="L59" s="12"/>
      <x:c r="M59" s="12"/>
      <x:c r="N59" s="12"/>
      <x:c r="O59" s="14" t="str">
        <x:f>IF(OR(B59="",E59="待投",E59="待核实",E59="已截止",E59="不投",E59="暂缓",E59="Offer",E59="拒绝",E59="撤回"),"",IF(G59&lt;&gt;"",$B$3-G59,IF(F59&lt;&gt;"",$B$3-F59,"待补日期")))</x:f>
      </x:c>
      <x:c r="P59" s="2" t="str">
        <x:f>IF(B59="","",IF(OR(E59="不投",E59="暂缓"),"不提醒",IF(OR(E59="Offer",E59="拒绝",E59="撤回",E59="已截止"),"已结束",IF(I59="","待设日期",IF(I59&lt;=$B$3,"需处理","已排期")))))</x:f>
      </x:c>
      <x:c r="Q59" s="2"/>
    </x:row>
    <x:row r="60" ht="32" customHeight="1">
      <x:c r="A60" s="11"/>
      <x:c r="B60" s="11"/>
      <x:c r="C60" s="11"/>
      <x:c r="D60" s="11"/>
      <x:c r="E60" s="12"/>
      <x:c r="F60" s="13"/>
      <x:c r="G60" s="13"/>
      <x:c r="H60" s="13"/>
      <x:c r="I60" s="13"/>
      <x:c r="J60" s="12"/>
      <x:c r="K60" s="12"/>
      <x:c r="L60" s="12"/>
      <x:c r="M60" s="12"/>
      <x:c r="N60" s="12"/>
      <x:c r="O60" s="14" t="str">
        <x:f>IF(OR(B60="",E60="待投",E60="待核实",E60="已截止",E60="不投",E60="暂缓",E60="Offer",E60="拒绝",E60="撤回"),"",IF(G60&lt;&gt;"",$B$3-G60,IF(F60&lt;&gt;"",$B$3-F60,"待补日期")))</x:f>
      </x:c>
      <x:c r="P60" s="2" t="str">
        <x:f>IF(B60="","",IF(OR(E60="不投",E60="暂缓"),"不提醒",IF(OR(E60="Offer",E60="拒绝",E60="撤回",E60="已截止"),"已结束",IF(I60="","待设日期",IF(I60&lt;=$B$3,"需处理","已排期")))))</x:f>
      </x:c>
      <x:c r="Q60" s="2"/>
    </x:row>
    <x:row r="61" ht="32" customHeight="1">
      <x:c r="A61" s="11"/>
      <x:c r="B61" s="11"/>
      <x:c r="C61" s="11"/>
      <x:c r="D61" s="11"/>
      <x:c r="E61" s="12"/>
      <x:c r="F61" s="13"/>
      <x:c r="G61" s="13"/>
      <x:c r="H61" s="13"/>
      <x:c r="I61" s="13"/>
      <x:c r="J61" s="12"/>
      <x:c r="K61" s="12"/>
      <x:c r="L61" s="12"/>
      <x:c r="M61" s="12"/>
      <x:c r="N61" s="12"/>
      <x:c r="O61" s="14" t="str">
        <x:f>IF(OR(B61="",E61="待投",E61="待核实",E61="已截止",E61="不投",E61="暂缓",E61="Offer",E61="拒绝",E61="撤回"),"",IF(G61&lt;&gt;"",$B$3-G61,IF(F61&lt;&gt;"",$B$3-F61,"待补日期")))</x:f>
      </x:c>
      <x:c r="P61" s="2" t="str">
        <x:f>IF(B61="","",IF(OR(E61="不投",E61="暂缓"),"不提醒",IF(OR(E61="Offer",E61="拒绝",E61="撤回",E61="已截止"),"已结束",IF(I61="","待设日期",IF(I61&lt;=$B$3,"需处理","已排期")))))</x:f>
      </x:c>
      <x:c r="Q61" s="2"/>
    </x:row>
    <x:row r="62" ht="32" customHeight="1">
      <x:c r="A62" s="11"/>
      <x:c r="B62" s="11"/>
      <x:c r="C62" s="11"/>
      <x:c r="D62" s="11"/>
      <x:c r="E62" s="12"/>
      <x:c r="F62" s="13"/>
      <x:c r="G62" s="13"/>
      <x:c r="H62" s="13"/>
      <x:c r="I62" s="13"/>
      <x:c r="J62" s="12"/>
      <x:c r="K62" s="12"/>
      <x:c r="L62" s="12"/>
      <x:c r="M62" s="12"/>
      <x:c r="N62" s="12"/>
      <x:c r="O62" s="14" t="str">
        <x:f>IF(OR(B62="",E62="待投",E62="待核实",E62="已截止",E62="不投",E62="暂缓",E62="Offer",E62="拒绝",E62="撤回"),"",IF(G62&lt;&gt;"",$B$3-G62,IF(F62&lt;&gt;"",$B$3-F62,"待补日期")))</x:f>
      </x:c>
      <x:c r="P62" s="2" t="str">
        <x:f>IF(B62="","",IF(OR(E62="不投",E62="暂缓"),"不提醒",IF(OR(E62="Offer",E62="拒绝",E62="撤回",E62="已截止"),"已结束",IF(I62="","待设日期",IF(I62&lt;=$B$3,"需处理","已排期")))))</x:f>
      </x:c>
      <x:c r="Q62" s="2"/>
    </x:row>
    <x:row r="63" ht="32" customHeight="1">
      <x:c r="A63" s="11"/>
      <x:c r="B63" s="11"/>
      <x:c r="C63" s="11"/>
      <x:c r="D63" s="11"/>
      <x:c r="E63" s="12"/>
      <x:c r="F63" s="13"/>
      <x:c r="G63" s="13"/>
      <x:c r="H63" s="13"/>
      <x:c r="I63" s="13"/>
      <x:c r="J63" s="12"/>
      <x:c r="K63" s="12"/>
      <x:c r="L63" s="12"/>
      <x:c r="M63" s="12"/>
      <x:c r="N63" s="12"/>
      <x:c r="O63" s="14" t="str">
        <x:f>IF(OR(B63="",E63="待投",E63="待核实",E63="已截止",E63="不投",E63="暂缓",E63="Offer",E63="拒绝",E63="撤回"),"",IF(G63&lt;&gt;"",$B$3-G63,IF(F63&lt;&gt;"",$B$3-F63,"待补日期")))</x:f>
      </x:c>
      <x:c r="P63" s="2" t="str">
        <x:f>IF(B63="","",IF(OR(E63="不投",E63="暂缓"),"不提醒",IF(OR(E63="Offer",E63="拒绝",E63="撤回",E63="已截止"),"已结束",IF(I63="","待设日期",IF(I63&lt;=$B$3,"需处理","已排期")))))</x:f>
      </x:c>
      <x:c r="Q63" s="2"/>
    </x:row>
    <x:row r="64" ht="32" customHeight="1">
      <x:c r="A64" s="11"/>
      <x:c r="B64" s="11"/>
      <x:c r="C64" s="11"/>
      <x:c r="D64" s="11"/>
      <x:c r="E64" s="12"/>
      <x:c r="F64" s="13"/>
      <x:c r="G64" s="13"/>
      <x:c r="H64" s="13"/>
      <x:c r="I64" s="13"/>
      <x:c r="J64" s="12"/>
      <x:c r="K64" s="12"/>
      <x:c r="L64" s="12"/>
      <x:c r="M64" s="12"/>
      <x:c r="N64" s="12"/>
      <x:c r="O64" s="14" t="str">
        <x:f>IF(OR(B64="",E64="待投",E64="待核实",E64="已截止",E64="不投",E64="暂缓",E64="Offer",E64="拒绝",E64="撤回"),"",IF(G64&lt;&gt;"",$B$3-G64,IF(F64&lt;&gt;"",$B$3-F64,"待补日期")))</x:f>
      </x:c>
      <x:c r="P64" s="2" t="str">
        <x:f>IF(B64="","",IF(OR(E64="不投",E64="暂缓"),"不提醒",IF(OR(E64="Offer",E64="拒绝",E64="撤回",E64="已截止"),"已结束",IF(I64="","待设日期",IF(I64&lt;=$B$3,"需处理","已排期")))))</x:f>
      </x:c>
      <x:c r="Q64" s="2"/>
    </x:row>
    <x:row r="65" ht="32" customHeight="1">
      <x:c r="A65" s="11"/>
      <x:c r="B65" s="11"/>
      <x:c r="C65" s="11"/>
      <x:c r="D65" s="11"/>
      <x:c r="E65" s="12"/>
      <x:c r="F65" s="13"/>
      <x:c r="G65" s="13"/>
      <x:c r="H65" s="13"/>
      <x:c r="I65" s="13"/>
      <x:c r="J65" s="12"/>
      <x:c r="K65" s="12"/>
      <x:c r="L65" s="12"/>
      <x:c r="M65" s="12"/>
      <x:c r="N65" s="12"/>
      <x:c r="O65" s="14" t="str">
        <x:f>IF(OR(B65="",E65="待投",E65="待核实",E65="已截止",E65="不投",E65="暂缓",E65="Offer",E65="拒绝",E65="撤回"),"",IF(G65&lt;&gt;"",$B$3-G65,IF(F65&lt;&gt;"",$B$3-F65,"待补日期")))</x:f>
      </x:c>
      <x:c r="P65" s="2" t="str">
        <x:f>IF(B65="","",IF(OR(E65="不投",E65="暂缓"),"不提醒",IF(OR(E65="Offer",E65="拒绝",E65="撤回",E65="已截止"),"已结束",IF(I65="","待设日期",IF(I65&lt;=$B$3,"需处理","已排期")))))</x:f>
      </x:c>
      <x:c r="Q65" s="2"/>
    </x:row>
    <x:row r="66" ht="32" customHeight="1">
      <x:c r="A66" s="11"/>
      <x:c r="B66" s="11"/>
      <x:c r="C66" s="11"/>
      <x:c r="D66" s="11"/>
      <x:c r="E66" s="12"/>
      <x:c r="F66" s="13"/>
      <x:c r="G66" s="13"/>
      <x:c r="H66" s="13"/>
      <x:c r="I66" s="13"/>
      <x:c r="J66" s="12"/>
      <x:c r="K66" s="12"/>
      <x:c r="L66" s="12"/>
      <x:c r="M66" s="12"/>
      <x:c r="N66" s="12"/>
      <x:c r="O66" s="14" t="str">
        <x:f>IF(OR(B66="",E66="待投",E66="待核实",E66="已截止",E66="不投",E66="暂缓",E66="Offer",E66="拒绝",E66="撤回"),"",IF(G66&lt;&gt;"",$B$3-G66,IF(F66&lt;&gt;"",$B$3-F66,"待补日期")))</x:f>
      </x:c>
      <x:c r="P66" s="2" t="str">
        <x:f>IF(B66="","",IF(OR(E66="不投",E66="暂缓"),"不提醒",IF(OR(E66="Offer",E66="拒绝",E66="撤回",E66="已截止"),"已结束",IF(I66="","待设日期",IF(I66&lt;=$B$3,"需处理","已排期")))))</x:f>
      </x:c>
      <x:c r="Q66" s="2"/>
    </x:row>
    <x:row r="67" ht="32" customHeight="1">
      <x:c r="A67" s="11"/>
      <x:c r="B67" s="11"/>
      <x:c r="C67" s="11"/>
      <x:c r="D67" s="11"/>
      <x:c r="E67" s="12"/>
      <x:c r="F67" s="13"/>
      <x:c r="G67" s="13"/>
      <x:c r="H67" s="13"/>
      <x:c r="I67" s="13"/>
      <x:c r="J67" s="12"/>
      <x:c r="K67" s="12"/>
      <x:c r="L67" s="12"/>
      <x:c r="M67" s="12"/>
      <x:c r="N67" s="12"/>
      <x:c r="O67" s="14" t="str">
        <x:f>IF(OR(B67="",E67="待投",E67="待核实",E67="已截止",E67="不投",E67="暂缓",E67="Offer",E67="拒绝",E67="撤回"),"",IF(G67&lt;&gt;"",$B$3-G67,IF(F67&lt;&gt;"",$B$3-F67,"待补日期")))</x:f>
      </x:c>
      <x:c r="P67" s="2" t="str">
        <x:f>IF(B67="","",IF(OR(E67="不投",E67="暂缓"),"不提醒",IF(OR(E67="Offer",E67="拒绝",E67="撤回",E67="已截止"),"已结束",IF(I67="","待设日期",IF(I67&lt;=$B$3,"需处理","已排期")))))</x:f>
      </x:c>
      <x:c r="Q67" s="2"/>
    </x:row>
    <x:row r="68" ht="32" customHeight="1">
      <x:c r="A68" s="11"/>
      <x:c r="B68" s="11"/>
      <x:c r="C68" s="11"/>
      <x:c r="D68" s="11"/>
      <x:c r="E68" s="12"/>
      <x:c r="F68" s="13"/>
      <x:c r="G68" s="13"/>
      <x:c r="H68" s="13"/>
      <x:c r="I68" s="13"/>
      <x:c r="J68" s="12"/>
      <x:c r="K68" s="12"/>
      <x:c r="L68" s="12"/>
      <x:c r="M68" s="12"/>
      <x:c r="N68" s="12"/>
      <x:c r="O68" s="14" t="str">
        <x:f>IF(OR(B68="",E68="待投",E68="待核实",E68="已截止",E68="不投",E68="暂缓",E68="Offer",E68="拒绝",E68="撤回"),"",IF(G68&lt;&gt;"",$B$3-G68,IF(F68&lt;&gt;"",$B$3-F68,"待补日期")))</x:f>
      </x:c>
      <x:c r="P68" s="2" t="str">
        <x:f>IF(B68="","",IF(OR(E68="不投",E68="暂缓"),"不提醒",IF(OR(E68="Offer",E68="拒绝",E68="撤回",E68="已截止"),"已结束",IF(I68="","待设日期",IF(I68&lt;=$B$3,"需处理","已排期")))))</x:f>
      </x:c>
      <x:c r="Q68" s="2"/>
    </x:row>
    <x:row r="69" ht="32" customHeight="1">
      <x:c r="A69" s="11"/>
      <x:c r="B69" s="11"/>
      <x:c r="C69" s="11"/>
      <x:c r="D69" s="11"/>
      <x:c r="E69" s="12"/>
      <x:c r="F69" s="13"/>
      <x:c r="G69" s="13"/>
      <x:c r="H69" s="13"/>
      <x:c r="I69" s="13"/>
      <x:c r="J69" s="12"/>
      <x:c r="K69" s="12"/>
      <x:c r="L69" s="12"/>
      <x:c r="M69" s="12"/>
      <x:c r="N69" s="12"/>
      <x:c r="O69" s="14" t="str">
        <x:f>IF(OR(B69="",E69="待投",E69="待核实",E69="已截止",E69="不投",E69="暂缓",E69="Offer",E69="拒绝",E69="撤回"),"",IF(G69&lt;&gt;"",$B$3-G69,IF(F69&lt;&gt;"",$B$3-F69,"待补日期")))</x:f>
      </x:c>
      <x:c r="P69" s="2" t="str">
        <x:f>IF(B69="","",IF(OR(E69="不投",E69="暂缓"),"不提醒",IF(OR(E69="Offer",E69="拒绝",E69="撤回",E69="已截止"),"已结束",IF(I69="","待设日期",IF(I69&lt;=$B$3,"需处理","已排期")))))</x:f>
      </x:c>
      <x:c r="Q69" s="2"/>
    </x:row>
  </x:sheetData>
  <x:conditionalFormatting sqref="E10:E69">
    <x:cfRule type="containsText" dxfId="0" priority="1" operator="containsText" text="Offer"/>
    <x:cfRule type="containsText" dxfId="4" priority="3" operator="containsText" text="不投"/>
  </x:conditionalFormatting>
  <x:conditionalFormatting sqref="P10:P69">
    <x:cfRule type="containsText" dxfId="1" priority="2" operator="containsText" text="需处理"/>
    <x:cfRule type="containsText" dxfId="5" priority="4" operator="containsText" text="不提醒"/>
  </x:conditionalFormatting>
  <x:dataValidations count="1">
    <x:dataValidation type="list" sqref="E10:E69">
      <x:formula1>"待投,待核实,已投无回复,测试完成待结果,面试中,Offer,拒绝,撤回,已截止,不投,暂缓"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76512c5eb414620"/>
  </x:tableParts>
</x:worksheet>
</file>

<file path=xl/worksheets/sheet2.xml><?xml version="1.0" encoding="utf-8"?>
<x:worksheet xmlns:x="http://schemas.openxmlformats.org/spreadsheetml/2006/main">
  <x:sheetPr>
    <x:tabColor rgb="FF52769A"/>
  </x:sheetPr>
  <x:sheetViews>
    <x:sheetView showGridLines="0" workbookViewId="0">
      <x:pane xSplit="2" ySplit="9" topLeftCell="C10" activePane="bottomRight" state="frozen"/>
    </x:sheetView>
  </x:sheetViews>
  <x:sheetFormatPr defaultRowHeight="15"/>
  <x:cols>
    <x:col min="1" max="1" width="10" hidden="0" customWidth="1"/>
    <x:col min="2" max="2" width="29" hidden="0" customWidth="1"/>
    <x:col min="3" max="3" width="23" hidden="0" customWidth="1"/>
    <x:col min="4" max="4" width="51" hidden="0" customWidth="1"/>
    <x:col min="5" max="5" width="23" hidden="0" customWidth="1"/>
    <x:col min="6" max="6" width="23" hidden="0" customWidth="1"/>
    <x:col min="7" max="7" width="32" hidden="0" customWidth="1"/>
    <x:col min="8" max="8" width="15" hidden="0" customWidth="1"/>
    <x:col min="9" max="9" width="39" hidden="0" customWidth="1"/>
    <x:col min="10" max="10" width="60" hidden="0" customWidth="1"/>
    <x:col min="11" max="11" width="21" hidden="0" customWidth="1"/>
    <x:col min="12" max="12" width="57" hidden="0" customWidth="1"/>
    <x:col min="13" max="13" width="80" hidden="0" customWidth="1"/>
    <x:col min="14" max="14" width="29" hidden="0" customWidth="1"/>
    <x:col min="15" max="15" width="80" hidden="0" customWidth="1"/>
    <x:col min="16" max="16" width="15" hidden="0" customWidth="1"/>
    <x:col min="17" max="17" width="1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28" customHeight="1">
      <x:c r="A2" s="3" t="str">
        <x:v>香港目标雇主与岗位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>
      <x:c r="A3" s="2" t="str">
        <x:v>更新日期</x:v>
      </x:c>
      <x:c r="B3" s="4" t="d">
        <x:v>2026-10-13T00:00:00.000Z</x:v>
      </x:c>
      <x:c r="C3" s="2"/>
      <x:c r="D3" s="2" t="str">
        <x:v>104条记录：95项未投候选/观察线索、6家已投、3家不投。10/13更新图片9家（7新增、2合并）及8家同类雇主。</x:v>
      </x:c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</x:row>
    <x:row r="5">
      <x:c r="A5" s="2" t="str">
        <x:v>排序：先IT/Human Capital轨道与资格 → 同组截止近者优先。未知截止技术GT近期推进；咨询降为备选。H列可筛选并按真实截止排序。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>
      <x:c r="A6" s="2" t="str">
        <x:v>空白截止日表示未核实或未公布，不表示长期开放。官网在招也可能提前关闭，提交前复查。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</x:row>
    <x:row r="7">
      <x:c r="A7" s="2" t="str">
        <x:v>10/13新增15项在表末（T90–T104）；图片9家已覆盖。F列P1优先核资格/到岗，P2观察，P3先核主体。Q列为逐条核验日；旧记录未全部复核。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</x:row>
    <x:row r="9" ht="32" customHeight="1">
      <x:c r="A9" s="10" t="str">
        <x:v>目标ID</x:v>
      </x:c>
      <x:c r="B9" s="10" t="str">
        <x:v>公司/机构</x:v>
      </x:c>
      <x:c r="C9" s="10" t="str">
        <x:v>行业</x:v>
      </x:c>
      <x:c r="D9" s="10" t="str">
        <x:v>目标岗位或项目</x:v>
      </x:c>
      <x:c r="E9" s="10" t="str">
        <x:v>方向</x:v>
      </x:c>
      <x:c r="F9" s="10" t="str">
        <x:v>行动序号 / 推荐度</x:v>
      </x:c>
      <x:c r="G9" s="10" t="str">
        <x:v>核验结果</x:v>
      </x:c>
      <x:c r="H9" s="10" t="str">
        <x:v>截止日期</x:v>
      </x:c>
      <x:c r="I9" s="10" t="str">
        <x:v>截止依据</x:v>
      </x:c>
      <x:c r="J9" s="10" t="str">
        <x:v>资格与限制</x:v>
      </x:c>
      <x:c r="K9" s="10" t="str">
        <x:v>预计入职</x:v>
      </x:c>
      <x:c r="L9" s="10" t="str">
        <x:v>建议下一步</x:v>
      </x:c>
      <x:c r="M9" s="10" t="str">
        <x:v>岗位/来源</x:v>
      </x:c>
      <x:c r="N9" s="10" t="str">
        <x:v>岗位编号</x:v>
      </x:c>
      <x:c r="O9" s="10" t="str">
        <x:v>补充事实/第二来源</x:v>
      </x:c>
      <x:c r="P9" s="10" t="str">
        <x:v>距截止天数</x:v>
      </x:c>
      <x:c r="Q9" s="10" t="str">
        <x:v>核验日期</x:v>
      </x:c>
    </x:row>
    <x:row r="10" ht="105" customHeight="1">
      <x:c r="A10" s="27" t="str">
        <x:v>T56</x:v>
      </x:c>
      <x:c r="B10" s="27" t="str">
        <x:v>Deutsche Bank 德意志银行</x:v>
      </x:c>
      <x:c r="C10" s="27" t="str">
        <x:v>外资银行</x:v>
      </x:c>
      <x:c r="D10" s="27" t="str">
        <x:v>2027 Graduate Programme — Human Resources, Hong Kong</x:v>
      </x:c>
      <x:c r="E10" s="27" t="str">
        <x:v>Human Capital / HR</x:v>
      </x:c>
      <x:c r="F10" s="27" t="str">
        <x:v>01 | P1 优先</x:v>
      </x:c>
      <x:c r="G10" s="27" t="str">
        <x:v>官方JD及截止已核实</x:v>
      </x:c>
      <x:c r="H10" s="28" t="d">
        <x:v>2026-10-25T00:00:00.000Z</x:v>
      </x:c>
      <x:c r="I10" s="27" t="str">
        <x:v>2026-10-11复核：官方截止2026-10-25 23:45 HKT；滚动审核。</x:v>
      </x:c>
      <x:c r="J10" s="27" t="str">
        <x:v>2026.01–2027.07完成学业；2027.07可全职；相关全职经验不超过12个月；不限专业</x:v>
      </x:c>
      <x:c r="K10" s="27" t="str">
        <x:v>2027年7月</x:v>
      </x:c>
      <x:c r="L10" s="27" t="str">
        <x:v>A 近期截止·优先轨道。10/12–10/14优先申请；写清HR动机及AI改善工作流程的经验</x:v>
      </x:c>
      <x:c r="M10" s="26" t="str">
        <x:v>https://db.recsolu.com/jobs/4fQxGOwM3cG1Cv-t8jHcAA?locale=en</x:v>
      </x:c>
      <x:c r="N10" s="27"/>
      <x:c r="O10" s="27" t="str">
        <x:v>新增外企；HR轮岗含Talent &amp; Development、Business Advisory、Performance &amp; Reward、Talent Acquisition。HR实习不是硬性要求；不代表录用容易。</x:v>
      </x:c>
      <x:c r="P10" s="30" t="n">
        <x:f>IF(OR(LEFT(F10,2)="不投",LEFT(F10,2)="已投",LEFT(L10,1)="F"),"",IF(H10="","",H10-'申请追踪'!$B$3))</x:f>
        <x:v>12</x:v>
      </x:c>
      <x:c r="Q10" s="28" t="d">
        <x:v>2026-10-10T00:00:00.000Z</x:v>
      </x:c>
    </x:row>
    <x:row r="11" ht="105" customHeight="1">
      <x:c r="A11" s="27" t="str">
        <x:v>T13</x:v>
      </x:c>
      <x:c r="B11" s="27" t="str">
        <x:v>MTR 港铁</x:v>
      </x:c>
      <x:c r="C11" s="27" t="str">
        <x:v>大型港企/交通</x:v>
      </x:c>
      <x:c r="D11" s="27" t="str">
        <x:v>2027 Human Resources Associate；GT综合方向备选</x:v>
      </x:c>
      <x:c r="E11" s="27" t="str">
        <x:v>Human Capital / HR</x:v>
      </x:c>
      <x:c r="F11" s="27" t="str">
        <x:v>02 | P1 优先</x:v>
      </x:c>
      <x:c r="G11" s="27" t="str">
        <x:v>官网2027 HRA及截止已核实</x:v>
      </x:c>
      <x:c r="H11" s="28" t="d">
        <x:v>2026-10-27T00:00:00.000Z</x:v>
      </x:c>
      <x:c r="I11" s="27" t="str">
        <x:v>2026-10-11复核：官方截止2026-10-27 23:59 HKT。</x:v>
      </x:c>
      <x:c r="J11" s="27" t="str">
        <x:v>应届/近期毕业；HRA未限定HR专业；需展示沟通、分析、协作及HR动机</x:v>
      </x:c>
      <x:c r="K11" s="27" t="str">
        <x:v>2027</x:v>
      </x:c>
      <x:c r="L11" s="27" t="str">
        <x:v>A 近期截止·优先轨道。优先HRA；同一表最多列3个项目志愿，GT作为备选。不要选不存在的IT Associate批次。</x:v>
      </x:c>
      <x:c r="M11" s="26" t="str">
        <x:v>https://www.mtr.com.hk/graduate-development-programme/index.php</x:v>
      </x:c>
      <x:c r="N11" s="27"/>
      <x:c r="O11" s="27" t="str">
        <x:v>本轮从暂缓恢复：用户新增Human Capital偏好。HRA涉及HR transformation、人才管理及绩效；不是IT岗位。</x:v>
      </x:c>
      <x:c r="P11" s="30" t="n">
        <x:f>IF(OR(LEFT(F11,2)="不投",LEFT(F11,2)="已投",LEFT(L11,1)="F"),"",IF(H11="","",H11-'申请追踪'!$B$3))</x:f>
        <x:v>14</x:v>
      </x:c>
      <x:c r="Q11" s="28" t="d">
        <x:v>2026-10-10T00:00:00.000Z</x:v>
      </x:c>
    </x:row>
    <x:row r="12" ht="105" customHeight="1">
      <x:c r="A12" s="27" t="str">
        <x:v>T17</x:v>
      </x:c>
      <x:c r="B12" s="27" t="str">
        <x:v>Lenovo / Lenovo PCCW Solutions</x:v>
      </x:c>
      <x:c r="C12" s="27" t="str">
        <x:v>科技/IT服务</x:v>
      </x:c>
      <x:c r="D12" s="27" t="str">
        <x:v>GFL 2027 — Project Coordinator, Hybrid Cloud &amp; AI Strategy &amp; Operations</x:v>
      </x:c>
      <x:c r="E12" s="27" t="str">
        <x:v>技术项目/产品</x:v>
      </x:c>
      <x:c r="F12" s="27" t="str">
        <x:v>03 | P1 条件匹配</x:v>
      </x:c>
      <x:c r="G12" s="27" t="str">
        <x:v>香港雇主完整JD及2027时间表已核实</x:v>
      </x:c>
      <x:c r="H12" s="28" t="d">
        <x:v>2026-10-30T00:00:00.000Z</x:v>
      </x:c>
      <x:c r="I12" s="27" t="str">
        <x:v>2026-10-11复核：Lenovo雇主LinkedIn JD申请期9/10–10/30，未列具体钟点。</x:v>
      </x:c>
      <x:c r="J12" s="27" t="str">
        <x:v>相关本科/近期毕业；沟通、项目协调、PMO基础；需10–20%出差</x:v>
      </x:c>
      <x:c r="K12" s="27" t="str">
        <x:v>2027春/夏</x:v>
      </x:c>
      <x:c r="L12" s="27" t="str">
        <x:v>A 近期截止·优先轨道。10/16前申请；用跨团队Agent交付例子；接受PMO/项目协调职责再投</x:v>
      </x:c>
      <x:c r="M12" s="26" t="str">
        <x:v>https://hk.linkedin.com/jobs/view/project-coordinator-%E2%80%93-hybrid-cloud-ai-strategy-operations-global-future-leaders-program-2027-at-lenovo-4465117498</x:v>
      </x:c>
      <x:c r="N12" s="27" t="str">
        <x:v>WD00104367</x:v>
      </x:c>
      <x:c r="O12" s="27" t="str">
        <x:v>AI赋能PMO与交付管理，不是纯AI研发。保留原岗位编号线索，提交时核对。；2026-10-11用户再次指定：保留本条合并更新，不重复添加公司。</x:v>
      </x:c>
      <x:c r="P12" s="30" t="n">
        <x:f>IF(OR(LEFT(F12,2)="不投",LEFT(F12,2)="已投",LEFT(L12,1)="F"),"",IF(H12="","",H12-'申请追踪'!$B$3))</x:f>
        <x:v>17</x:v>
      </x:c>
      <x:c r="Q12" s="28" t="d">
        <x:v>2026-10-11T00:00:00.000Z</x:v>
      </x:c>
    </x:row>
    <x:row r="13" ht="105" customHeight="1">
      <x:c r="A13" s="27" t="str">
        <x:v>T12</x:v>
      </x:c>
      <x:c r="B13" s="27" t="str">
        <x:v>Hong Kong Jockey Club 香港赛马会</x:v>
      </x:c>
      <x:c r="C13" s="27" t="str">
        <x:v>大型机构</x:v>
      </x:c>
      <x:c r="D13" s="27" t="str">
        <x:v>2027 Management Trainee — 优先IT，其次People &amp; OD</x:v>
      </x:c>
      <x:c r="E13" s="27" t="str">
        <x:v>IT / Human Capital</x:v>
      </x:c>
      <x:c r="F13" s="27" t="str">
        <x:v>04 | P1 优先</x:v>
      </x:c>
      <x:c r="G13" s="27" t="str">
        <x:v>官网MT开放；团队页包含IT及People &amp; OD</x:v>
      </x:c>
      <x:c r="H13" s="28" t="d">
        <x:v>2026-10-31T00:00:00.000Z</x:v>
      </x:c>
      <x:c r="I13" s="27" t="str">
        <x:v>2026-10-11复核：官方时间表截止2026-10-31，未列具体钟点。</x:v>
      </x:c>
      <x:c r="J13" s="27" t="str">
        <x:v>任何学科应届或工作经验少于3年；部门意愿/实际名额及香港定岗需申请时确认</x:v>
      </x:c>
      <x:c r="K13" s="27" t="str">
        <x:v>2027</x:v>
      </x:c>
      <x:c r="L13" s="27" t="str">
        <x:v>A 近期截止·优先轨道。优先填写IT意向；People &amp; OD次选。核实本轮选项及香港/深圳安排</x:v>
      </x:c>
      <x:c r="M13" s="26" t="str">
        <x:v>https://careers.hkjc.com/MT/?locale=en_GB</x:v>
      </x:c>
      <x:c r="N13" s="27"/>
      <x:c r="O13" s="27" t="str">
        <x:v>官方IT团队：Product &amp; Platform、Digital Innovations、Cyber等；团队介绍不等于保证本轮定岗。https://careers.hkjc.com/MT/content/How-to-Apply/?locale=en_GB</x:v>
      </x:c>
      <x:c r="P13" s="30" t="n">
        <x:f>IF(OR(LEFT(F13,2)="不投",LEFT(F13,2)="已投",LEFT(L13,1)="F"),"",IF(H13="","",H13-'申请追踪'!$B$3))</x:f>
        <x:v>18</x:v>
      </x:c>
      <x:c r="Q13" s="28" t="d">
        <x:v>2026-10-10T00:00:00.000Z</x:v>
      </x:c>
    </x:row>
    <x:row r="14" ht="105" customHeight="1">
      <x:c r="A14" s="27" t="str">
        <x:v>T15</x:v>
      </x:c>
      <x:c r="B14" s="27" t="str">
        <x:v>HKTV 香港科技探索</x:v>
      </x:c>
      <x:c r="C14" s="27" t="str">
        <x:v>电商/科技</x:v>
      </x:c>
      <x:c r="D14" s="27" t="str">
        <x:v>2027 Graduate Trainee — People Department（Human Capital方向）</x:v>
      </x:c>
      <x:c r="E14" s="27" t="str">
        <x:v>Human Capital / People</x:v>
      </x:c>
      <x:c r="F14" s="27" t="str">
        <x:v>05 | P1 条件匹配</x:v>
      </x:c>
      <x:c r="G14" s="27" t="str">
        <x:v>官网GT与People部门已核实；未列IT部门</x:v>
      </x:c>
      <x:c r="H14" s="28" t="d">
        <x:v>2026-10-31T00:00:00.000Z</x:v>
      </x:c>
      <x:c r="I14" s="27" t="str">
        <x:v>2026-10-11复核：官方截止2026-10-31 23:59 HKT。</x:v>
      </x:c>
      <x:c r="J14" s="27" t="str">
        <x:v>本科/应届或少于2年全职经验；英语及粤语为要求；开工时具工作权，合资格者可获签证支持</x:v>
      </x:c>
      <x:c r="K14" s="27" t="str">
        <x:v>2027年6月</x:v>
      </x:c>
      <x:c r="L14" s="27" t="str">
        <x:v>A 近期截止·优先轨道。先核对粤语及People Department申请选项；准备自我介绍视频；不能当作IT Track</x:v>
      </x:c>
      <x:c r="M14" s="26" t="str">
        <x:v>https://hktvcareers.com/programmes/</x:v>
      </x:c>
      <x:c r="N14" s="27"/>
      <x:c r="O14" s="27" t="str">
        <x:v>部门页：https://hktvcareers.com/departments/；GT 24个月，官网目前列10个部门，未列IT。</x:v>
      </x:c>
      <x:c r="P14" s="30" t="n">
        <x:f>IF(OR(LEFT(F14,2)="不投",LEFT(F14,2)="已投",LEFT(L14,1)="F"),"",IF(H14="","",H14-'申请追踪'!$B$3))</x:f>
        <x:v>18</x:v>
      </x:c>
      <x:c r="Q14" s="28" t="d">
        <x:v>2026-10-10T00:00:00.000Z</x:v>
      </x:c>
    </x:row>
    <x:row r="15" ht="105" customHeight="1">
      <x:c r="A15" s="27" t="str">
        <x:v>T49</x:v>
      </x:c>
      <x:c r="B15" s="27" t="str">
        <x:v>OOCL 东方海外</x:v>
      </x:c>
      <x:c r="C15" s="27" t="str">
        <x:v>航运/大型港企</x:v>
      </x:c>
      <x:c r="D15" s="27" t="str">
        <x:v>2027 IT Graduate Trainee（优先Technical Analyst方向）</x:v>
      </x:c>
      <x:c r="E15" s="27" t="str">
        <x:v>软件/云/IT</x:v>
      </x:c>
      <x:c r="F15" s="27" t="str">
        <x:v>06 | P1 优先</x:v>
      </x:c>
      <x:c r="G15" s="27" t="str">
        <x:v>2027官网项目已核实</x:v>
      </x:c>
      <x:c r="H15" s="28"/>
      <x:c r="I15" s="27" t="str">
        <x:v>2026-10-11复核：IT邮箱仍列ITAPPLY@OOCL.COM，IT截止未见；12/31仅为MT。</x:v>
      </x:c>
      <x:c r="J15" s="27" t="str">
        <x:v>本科以上；接受非HK永久居民申请；需核对技术轨道及到岗工作权</x:v>
      </x:c>
      <x:c r="K15" s="27" t="str">
        <x:v>2027年中</x:v>
      </x:c>
      <x:c r="L15" s="27" t="str">
        <x:v>B 技术GT·近期推进。10/12前备齐CV+最新成绩单，电邮ITAPPLY@OOCL.COM；技术方向优先。详见OOCL申请指南</x:v>
      </x:c>
      <x:c r="M15" s="26" t="str">
        <x:v>https://www.oocl.com/eng/aboutoocl/ooclcareer/careersatoocl/Documents/Career/index.aspx</x:v>
      </x:c>
      <x:c r="N15" s="27"/>
      <x:c r="O15" s="27" t="str">
        <x:v>IT专页明确邮箱；2027 FAQ列CV及最新成绩单。IT截止未明，12/31属于MT，不套用。未发送申请。</x:v>
      </x:c>
      <x:c r="P15" s="30" t="str">
        <x:f>IF(OR(LEFT(F15,2)="不投",LEFT(F15,2)="已投",LEFT(L15,1)="F"),"",IF(H15="","",H15-'申请追踪'!$B$3))</x:f>
      </x:c>
      <x:c r="Q15" s="28" t="d">
        <x:v>2026-10-10T00:00:00.000Z</x:v>
      </x:c>
    </x:row>
    <x:row r="16" ht="105" customHeight="1">
      <x:c r="A16" s="27" t="str">
        <x:v>T51</x:v>
      </x:c>
      <x:c r="B16" s="27" t="str">
        <x:v>Hactl 香港空运货站</x:v>
      </x:c>
      <x:c r="C16" s="27" t="str">
        <x:v>航空物流/大型港企</x:v>
      </x:c>
      <x:c r="D16" s="27" t="str">
        <x:v>IT Graduate Trainee — Application Development Stream</x:v>
      </x:c>
      <x:c r="E16" s="27" t="str">
        <x:v>软件开发/IT</x:v>
      </x:c>
      <x:c r="F16" s="27" t="str">
        <x:v>07 | P1 核实后投</x:v>
      </x:c>
      <x:c r="G16" s="27" t="str">
        <x:v>官网JD和申请表可用</x:v>
      </x:c>
      <x:c r="H16" s="28"/>
      <x:c r="I16" s="27" t="str">
        <x:v>2026-10-11复核：IT项目页可读，未见明确截止或2027专属入职批次。</x:v>
      </x:c>
      <x:c r="J16" s="27" t="str">
        <x:v>相关本科/高等文凭应届；Java/SQL或.NET等；不是已确认2027专属批次</x:v>
      </x:c>
      <x:c r="K16" s="27" t="str">
        <x:v>需确认2027.03后可入职</x:v>
      </x:c>
      <x:c r="L16" s="27" t="str">
        <x:v>B 技术GT·近期推进。先确认毕业后入职安排；优先Application Development</x:v>
      </x:c>
      <x:c r="M16" s="26" t="str">
        <x:v>https://careers.hactl.com/trainee/it-graduate-trainee/</x:v>
      </x:c>
      <x:c r="N16" s="27"/>
      <x:c r="O16" s="27" t="str">
        <x:v>官网三年培训；Application与Infrastructure分流。Infra涉及24/7可用性，需确认轮班；申请表：https://careers.hactl.com/trainee/it-graduate-trainee/apply/</x:v>
      </x:c>
      <x:c r="P16" s="30" t="str">
        <x:f>IF(OR(LEFT(F16,2)="不投",LEFT(F16,2)="已投",LEFT(L16,1)="F"),"",IF(H16="","",H16-'申请追踪'!$B$3))</x:f>
      </x:c>
      <x:c r="Q16" s="28" t="d">
        <x:v>2026-10-10T00:00:00.000Z</x:v>
      </x:c>
    </x:row>
    <x:row r="17" ht="105" customHeight="1">
      <x:c r="A17" s="27" t="str">
        <x:v>T52</x:v>
      </x:c>
      <x:c r="B17" s="27" t="str">
        <x:v>CMB Wing Lung 招商永隆</x:v>
      </x:c>
      <x:c r="C17" s="27" t="str">
        <x:v>银行科技</x:v>
      </x:c>
      <x:c r="D17" s="27" t="str">
        <x:v>IT Graduate Trainee — Application Development</x:v>
      </x:c>
      <x:c r="E17" s="27" t="str">
        <x:v>银行软件/系统开发</x:v>
      </x:c>
      <x:c r="F17" s="27" t="str">
        <x:v>08 | P1 核实后投</x:v>
      </x:c>
      <x:c r="G17" s="27" t="str">
        <x:v>官网列出具体IT岗位</x:v>
      </x:c>
      <x:c r="H17" s="28"/>
      <x:c r="I17" s="27" t="str">
        <x:v>2026-10-11复核：官网列Application Development；未见明确截止，2027入职待核。</x:v>
      </x:c>
      <x:c r="J17" s="27" t="str">
        <x:v>CS或相关本科；中英文；开发技术为加分项；具体签证及毕业窗口待核</x:v>
      </x:c>
      <x:c r="K17" s="27" t="str">
        <x:v>需确认2027毕业生</x:v>
      </x:c>
      <x:c r="L17" s="27" t="str">
        <x:v>B 技术GT·近期推进。只选Application Development；确认本轮接受2027到岗</x:v>
      </x:c>
      <x:c r="M17" s="26" t="str">
        <x:v>https://www.cmbwinglungbank.com/wlb_corporate/hk/about-us/careers/job-openings/it-graduate-trainee.html</x:v>
      </x:c>
      <x:c r="N17" s="27"/>
      <x:c r="O17" s="27" t="str">
        <x:v>非综合MT；官网同时有Project Management &amp; Testing方向，申请时区分。可准备CV+cover letter，未替你发送</x:v>
      </x:c>
      <x:c r="P17" s="30" t="str">
        <x:f>IF(OR(LEFT(F17,2)="不投",LEFT(F17,2)="已投",LEFT(L17,1)="F"),"",IF(H17="","",H17-'申请追踪'!$B$3))</x:f>
      </x:c>
      <x:c r="Q17" s="28" t="d">
        <x:v>2026-10-10T00:00:00.000Z</x:v>
      </x:c>
    </x:row>
    <x:row r="18" ht="105" customHeight="1">
      <x:c r="A18" s="27" t="str">
        <x:v>T50</x:v>
      </x:c>
      <x:c r="B18" s="27" t="str">
        <x:v>HK Electric 港灯</x:v>
      </x:c>
      <x:c r="C18" s="27" t="str">
        <x:v>公用事业/大型港企</x:v>
      </x:c>
      <x:c r="D18" s="27" t="str">
        <x:v>Graduate Trainee 2027 — Information Technology</x:v>
      </x:c>
      <x:c r="E18" s="27" t="str">
        <x:v>IT系统/技术GT</x:v>
      </x:c>
      <x:c r="F18" s="27" t="str">
        <x:v>09 | P1 优先</x:v>
      </x:c>
      <x:c r="G18" s="27" t="str">
        <x:v>雇主发布的2027 JD已核实</x:v>
      </x:c>
      <x:c r="H18" s="28" t="d">
        <x:v>2026-12-18T00:00:00.000Z</x:v>
      </x:c>
      <x:c r="I18" s="27" t="str">
        <x:v>2026-10-11复核：港灯雇主LinkedIn JD截止2026-12-18，2027年8月入职。</x:v>
      </x:c>
      <x:c r="J18" s="27" t="str">
        <x:v>2027招聘包含IT专业；Data Science是否认可、语言及签证按完整申请条件确认</x:v>
      </x:c>
      <x:c r="K18" s="27" t="str">
        <x:v>2027年8月</x:v>
      </x:c>
      <x:c r="L18" s="27" t="str">
        <x:v>B 技术GT·近期推进。选择Information Technology；准备成绩单并确认专业资格</x:v>
      </x:c>
      <x:c r="M18" s="26" t="str">
        <x:v>https://hk.linkedin.com/jobs/view/graduate-trainee-2027-ref-gt-2027-li-at-the-hongkong-electric-co-ltd-hk-electric-4467075048</x:v>
      </x:c>
      <x:c r="N18" s="27" t="str">
        <x:v>GT-2027-LI</x:v>
      </x:c>
      <x:c r="O18" s="27" t="str">
        <x:v>两年培训；2027年1月测试、2-4月面试。职位为IT方向，非电气/机械GT</x:v>
      </x:c>
      <x:c r="P18" s="30" t="n">
        <x:f>IF(OR(LEFT(F18,2)="不投",LEFT(F18,2)="已投",LEFT(L18,1)="F"),"",IF(H18="","",H18-'申请追踪'!$B$3))</x:f>
        <x:v>66</x:v>
      </x:c>
      <x:c r="Q18" s="28" t="d">
        <x:v>2026-10-10T00:00:00.000Z</x:v>
      </x:c>
    </x:row>
    <x:row r="19" ht="105" customHeight="1">
      <x:c r="A19" s="27" t="str">
        <x:v>T53</x:v>
      </x:c>
      <x:c r="B19" s="27" t="str">
        <x:v>China Unicom 中国联通（香港）</x:v>
      </x:c>
      <x:c r="C19" s="27" t="str">
        <x:v>电讯/大型企业</x:v>
      </x:c>
      <x:c r="D19" s="27" t="str">
        <x:v>2027 Graduate Trainee Program (HK) — 技术方向</x:v>
      </x:c>
      <x:c r="E19" s="27" t="str">
        <x:v>IT/网络/云</x:v>
      </x:c>
      <x:c r="F19" s="27" t="str">
        <x:v>10 | P2 条件匹配</x:v>
      </x:c>
      <x:c r="G19" s="27" t="str">
        <x:v>雇主招聘广告已核实</x:v>
      </x:c>
      <x:c r="H19" s="28"/>
      <x:c r="I19" s="27" t="str">
        <x:v>2026-10-11复核：雇主广告未列截止；粤语及有效香港工作签证要求需满足。</x:v>
      </x:c>
      <x:c r="J19" s="27" t="str">
        <x:v>2026-2027毕业，硕士优先；明确要求英语、普通话、粤语及有效HK工作签证</x:v>
      </x:c>
      <x:c r="K19" s="27" t="str">
        <x:v>2027，具体月份待核</x:v>
      </x:c>
      <x:c r="L19" s="27" t="str">
        <x:v>B 技术GT·近期推进。先确认粤语和IANG取得时间，再确认可选择技术部门</x:v>
      </x:c>
      <x:c r="M19" s="26" t="str">
        <x:v>https://www.cuguplus.com/zh-hans/join-us-campus</x:v>
      </x:c>
      <x:c r="N19" s="27" t="str">
        <x:v>L0607875755</x:v>
      </x:c>
      <x:c r="O19" s="27" t="str">
        <x:v>香港将军澳；技术与商业部门轮岗。雇主广告：https://openuniversity.recruit.com.hk/jobseeker/JobDetail.aspx?jobOrder=L0607875755；2026-10-11用户再次指定：保留本条合并更新，不重复添加公司。</x:v>
      </x:c>
      <x:c r="P19" s="30" t="str">
        <x:f>IF(OR(LEFT(F19,2)="不投",LEFT(F19,2)="已投",LEFT(L19,1)="F"),"",IF(H19="","",H19-'申请追踪'!$B$3))</x:f>
      </x:c>
      <x:c r="Q19" s="28" t="d">
        <x:v>2026-10-11T00:00:00.000Z</x:v>
      </x:c>
    </x:row>
    <x:row r="20" ht="105" customHeight="1">
      <x:c r="A20" s="27" t="str">
        <x:v>T16</x:v>
      </x:c>
      <x:c r="B20" s="27" t="str">
        <x:v>PCCW / HKT</x:v>
      </x:c>
      <x:c r="C20" s="27" t="str">
        <x:v>电讯/IT服务</x:v>
      </x:c>
      <x:c r="D20" s="27" t="str">
        <x:v>Graduate Development / Technical Associate - Solutions Delivery</x:v>
      </x:c>
      <x:c r="E20" s="27" t="str">
        <x:v>技术GT</x:v>
      </x:c>
      <x:c r="F20" s="27" t="str">
        <x:v>11 | P1 核实后投</x:v>
      </x:c>
      <x:c r="G20" s="27" t="str">
        <x:v>项目存在；本轮细节待核</x:v>
      </x:c>
      <x:c r="H20" s="28"/>
      <x:c r="I20" s="27" t="str">
        <x:v>2026-10-11复核：官网仅项目介绍，未确认2027开放批次或截止。</x:v>
      </x:c>
      <x:c r="J20" s="27" t="str">
        <x:v>核对2027岗位、粤语、编程/云要求</x:v>
      </x:c>
      <x:c r="K20" s="27" t="str">
        <x:v>2027待确认</x:v>
      </x:c>
      <x:c r="L20" s="27" t="str">
        <x:v>B 技术GT·近期推进。找Solutions Delivery/IT岗；核对最新地址</x:v>
      </x:c>
      <x:c r="M20" s="26" t="str">
        <x:v>https://job.pccw.com/hkt/content/Technical-Associate---Solutions-Delivery/?locale=en_US</x:v>
      </x:c>
      <x:c r="N20" s="27"/>
      <x:c r="O20" s="27" t="str">
        <x:v>2027线索：https://www.cb.cityu.edu.hk/careerdevelopment/careerfair/?c=0BCF249CA8CE5803E1B38581AB2D0112&amp;p=c；2026-10-11用户再次指定：保留本条合并更新，不重复添加公司。</x:v>
      </x:c>
      <x:c r="P20" s="30" t="str">
        <x:f>IF(OR(LEFT(F20,2)="不投",LEFT(F20,2)="已投",LEFT(L20,1)="F"),"",IF(H20="","",H20-'申请追踪'!$B$3))</x:f>
      </x:c>
      <x:c r="Q20" s="28" t="d">
        <x:v>2026-10-11T00:00:00.000Z</x:v>
      </x:c>
    </x:row>
    <x:row r="21" ht="105" customHeight="1">
      <x:c r="A21" s="27" t="str">
        <x:v>T58</x:v>
      </x:c>
      <x:c r="B21" s="27" t="str">
        <x:v>BOCI 中银国际（非BOCHK）</x:v>
      </x:c>
      <x:c r="C21" s="27" t="str">
        <x:v>大型中资投资银行</x:v>
      </x:c>
      <x:c r="D21" s="27" t="str">
        <x:v>2027 Management Trainee — Information Technology Focused</x:v>
      </x:c>
      <x:c r="E21" s="27" t="str">
        <x:v>IT GT</x:v>
      </x:c>
      <x:c r="F21" s="27" t="str">
        <x:v>12 | P1 先核实名额</x:v>
      </x:c>
      <x:c r="G21" s="27" t="str">
        <x:v>官方门户仍列岗；LinkedIn显示不再接受申请</x:v>
      </x:c>
      <x:c r="H21" s="28"/>
      <x:c r="I21" s="27" t="str">
        <x:v>2026-10-11复核：LinkedIn仍显示停止申请；官网门户正文未能读取，开放状态待确认。</x:v>
      </x:c>
      <x:c r="J21" s="27" t="str">
        <x:v>Data Science明确可报；2026.01–2027.07毕业；最高学历毕业后无全职经验；中英文</x:v>
      </x:c>
      <x:c r="K21" s="27" t="str">
        <x:v>2027</x:v>
      </x:c>
      <x:c r="L21" s="27" t="str">
        <x:v>B 技术GT·近期推进。先核实官网Apply是否仍接受本轮；只可申请一个BOCI MT岗位；如开放再准备中英文CV及成绩单</x:v>
      </x:c>
      <x:c r="M21" s="26" t="str">
        <x:v>https://boci.recruitmentplatform.com/</x:v>
      </x:c>
      <x:c r="N21" s="27"/>
      <x:c r="O21" s="27" t="str">
        <x:v>新增，与用户不投的BOCHK不同。Human Resources是发布分类；岗位轮转实际在IT。雇主JD：https://hk.linkedin.com/jobs/view/2027-management-trainee-programme-information-technology-focused-at-boci-4461936819</x:v>
      </x:c>
      <x:c r="P21" s="30" t="str">
        <x:f>IF(OR(LEFT(F21,2)="不投",LEFT(F21,2)="已投",LEFT(L21,1)="F"),"",IF(H21="","",H21-'申请追踪'!$B$3))</x:f>
      </x:c>
      <x:c r="Q21" s="28" t="d">
        <x:v>2026-10-10T00:00:00.000Z</x:v>
      </x:c>
    </x:row>
    <x:row r="22" ht="105" customHeight="1">
      <x:c r="A22" s="27" t="str">
        <x:v>T14</x:v>
      </x:c>
      <x:c r="B22" s="27" t="str">
        <x:v>Swire 太古</x:v>
      </x:c>
      <x:c r="C22" s="27" t="str">
        <x:v>大型港企/综合集团</x:v>
      </x:c>
      <x:c r="D22" s="27" t="str">
        <x:v>Swire Management Programme 2027</x:v>
      </x:c>
      <x:c r="E22" s="27" t="str">
        <x:v>综合MT</x:v>
      </x:c>
      <x:c r="F22" s="27" t="str">
        <x:v>13 | P2 综合GT备选</x:v>
      </x:c>
      <x:c r="G22" s="27" t="str">
        <x:v>官网在招</x:v>
      </x:c>
      <x:c r="H22" s="28" t="d">
        <x:v>2026-10-31T00:00:00.000Z</x:v>
      </x:c>
      <x:c r="I22" s="27" t="str">
        <x:v>官方：23:59 HKT</x:v>
      </x:c>
      <x:c r="J22" s="27" t="str">
        <x:v>重商业领导力及跨地区轮岗；不是纯AI岗位</x:v>
      </x:c>
      <x:c r="K22" s="27" t="str">
        <x:v>2027年8月下旬</x:v>
      </x:c>
      <x:c r="L22" s="27" t="str">
        <x:v>C 有截止·备选。如接受非固定IT/HR及跨地区轮岗，可在10/31前投；不优先于专门IT/HC轨道</x:v>
      </x:c>
      <x:c r="M22" s="26" t="str">
        <x:v>https://careers.swire.com/en/careers/swire-management-programme</x:v>
      </x:c>
      <x:c r="N22" s="27"/>
      <x:c r="O22" s="27" t="str">
        <x:v>另查Swire HR Leadership：仅招有经验HR且当前未招聘，不适合FG。https://careers.swire.com/en/careers/swire-hr-leadership-programme</x:v>
      </x:c>
      <x:c r="P22" s="30" t="n">
        <x:f>IF(OR(LEFT(F22,2)="不投",LEFT(F22,2)="已投",LEFT(L22,1)="F"),"",IF(H22="","",H22-'申请追踪'!$B$3))</x:f>
        <x:v>18</x:v>
      </x:c>
      <x:c r="Q22" s="28" t="d">
        <x:v>2026-10-10T00:00:00.000Z</x:v>
      </x:c>
    </x:row>
    <x:row r="23" ht="105" customHeight="1">
      <x:c r="A23" s="27" t="str">
        <x:v>T06</x:v>
      </x:c>
      <x:c r="B23" s="27" t="str">
        <x:v>Accenture 埃森哲</x:v>
      </x:c>
      <x:c r="C23" s="27" t="str">
        <x:v>IT/管理咨询</x:v>
      </x:c>
      <x:c r="D23" s="27" t="str">
        <x:v>2027 AI-Native Analyst Program (Hong Kong)</x:v>
      </x:c>
      <x:c r="E23" s="27" t="str">
        <x:v>AI/数字转型</x:v>
      </x:c>
      <x:c r="F23" s="27" t="str">
        <x:v>14 | P2 咨询备选</x:v>
      </x:c>
      <x:c r="G23" s="27" t="str">
        <x:v>本轮招聘已核实</x:v>
      </x:c>
      <x:c r="H23" s="28" t="d">
        <x:v>2026-11-02T00:00:00.000Z</x:v>
      </x:c>
      <x:c r="I23" s="27" t="str">
        <x:v>CUHK就业中心日期；提交时复核</x:v>
      </x:c>
      <x:c r="J23" s="27" t="str">
        <x:v>选择Hong Kong职位与具体职能；英语及客户沟通</x:v>
      </x:c>
      <x:c r="K23" s="27" t="str">
        <x:v>2027</x:v>
      </x:c>
      <x:c r="L23" s="27" t="str">
        <x:v>C 有截止·备选。核对HK具体AI/软件/云岗位及工程职责；排除纯业务分析方向；按用户最新偏好降低优先度，保留历史记录。</x:v>
      </x:c>
      <x:c r="M23" s="26" t="str">
        <x:v>https://www.accenture.com/hk-en/careers/life-at-accenture/internships-careers</x:v>
      </x:c>
      <x:c r="N23" s="27"/>
      <x:c r="O23" s="27" t="str">
        <x:v>岗位及日期来源：https://cpdc.osa.cuhk.edu.hk/en/find-a-job/highlight-job-postings</x:v>
      </x:c>
      <x:c r="P23" s="30" t="n">
        <x:f>IF(OR(LEFT(F23,2)="不投",LEFT(F23,2)="已投",LEFT(L23,1)="F"),"",IF(H23="","",H23-'申请追踪'!$B$3))</x:f>
        <x:v>20</x:v>
      </x:c>
      <x:c r="Q23" s="28" t="d">
        <x:v>2026-10-10T00:00:00.000Z</x:v>
      </x:c>
    </x:row>
    <x:row r="24" ht="105" customHeight="1">
      <x:c r="A24" s="27" t="str">
        <x:v>T57</x:v>
      </x:c>
      <x:c r="B24" s="27" t="str">
        <x:v>HAECO 港机集团</x:v>
      </x:c>
      <x:c r="C24" s="27" t="str">
        <x:v>太古集团/航空工程</x:v>
      </x:c>
      <x:c r="D24" s="27" t="str">
        <x:v>Group Graduate Trainee Programme 2027 (Hong Kong) — Supporting Functions</x:v>
      </x:c>
      <x:c r="E24" s="27" t="str">
        <x:v>大型企业GT / 职能</x:v>
      </x:c>
      <x:c r="F24" s="27" t="str">
        <x:v>15 | P2 条件备选</x:v>
      </x:c>
      <x:c r="G24" s="27" t="str">
        <x:v>官网2027岗位及截止已核实</x:v>
      </x:c>
      <x:c r="H24" s="28" t="d">
        <x:v>2026-11-15T00:00:00.000Z</x:v>
      </x:c>
      <x:c r="I24" s="27" t="str">
        <x:v>官网Graduate Trainee Programme香港入口</x:v>
      </x:c>
      <x:c r="J24" s="27" t="str">
        <x:v>任何专业；应届或少于2年工作经验；看重商业意识及沟通</x:v>
      </x:c>
      <x:c r="K24" s="27" t="str">
        <x:v>2027，具体月份待核</x:v>
      </x:c>
      <x:c r="L24" s="27" t="str">
        <x:v>C 有截止·备选。先核实Supporting Functions中是否有IT/HR/数字改进名额；无则仅综合GT备选</x:v>
      </x:c>
      <x:c r="M24" s="26" t="str">
        <x:v>https://www.haeco.com/en/careers/trainee-programme/graduate-trainee-programme</x:v>
      </x:c>
      <x:c r="N24" s="27" t="str">
        <x:v>1184</x:v>
      </x:c>
      <x:c r="O24" s="27" t="str">
        <x:v>新增大型企业；官网只确认Supporting Functions，不保证IT或HC定岗。JD：https://careers.haeco.com/job/Airport-area-HAECO-Group-Graduate-Trainee-Programme-2027-(Hong-Kong)/1366966666/</x:v>
      </x:c>
      <x:c r="P24" s="30" t="n">
        <x:f>IF(OR(LEFT(F24,2)="不投",LEFT(F24,2)="已投",LEFT(L24,1)="F"),"",IF(H24="","",H24-'申请追踪'!$B$3))</x:f>
        <x:v>33</x:v>
      </x:c>
      <x:c r="Q24" s="28" t="d">
        <x:v>2026-10-10T00:00:00.000Z</x:v>
      </x:c>
    </x:row>
    <x:row r="25" ht="105" customHeight="1">
      <x:c r="A25" s="27" t="str">
        <x:v>T59</x:v>
      </x:c>
      <x:c r="B25" s="27" t="str">
        <x:v>MUFG 三菱日联</x:v>
      </x:c>
      <x:c r="C25" s="27" t="str">
        <x:v>外资银行</x:v>
      </x:c>
      <x:c r="D25" s="27" t="str">
        <x:v>Analyst Programme 2027 — Corporate Functions, Hong Kong</x:v>
      </x:c>
      <x:c r="E25" s="27" t="str">
        <x:v>综合职能 / 转型</x:v>
      </x:c>
      <x:c r="F25" s="27" t="str">
        <x:v>16 | P3 大型外企备选</x:v>
      </x:c>
      <x:c r="G25" s="27" t="str">
        <x:v>雇主JD已核实；不是专门HR/IT轨道</x:v>
      </x:c>
      <x:c r="H25" s="28" t="d">
        <x:v>2026-12-31T00:00:00.000Z</x:v>
      </x:c>
      <x:c r="I25" s="27" t="str">
        <x:v>雇主JD：已延长至12/31；2027.01通知下一步</x:v>
      </x:c>
      <x:c r="J25" s="27" t="str">
        <x:v>本科以上；毕业后全职经验少于1年；英语及中文（粤语和/或普通话）</x:v>
      </x:c>
      <x:c r="K25" s="27" t="str">
        <x:v>2027，具体月份待核</x:v>
      </x:c>
      <x:c r="L25" s="27" t="str">
        <x:v>C 有截止·备选。仅在接受Operations/Risk/Finance/Transformation轮岗时投；不要当作HC或IT保底</x:v>
      </x:c>
      <x:c r="M25" s="26" t="str">
        <x:v>https://mufgub.wd3.myworkdayjobs.com/en-US/MUFG-Careers/job/Hong-Kong---Airside/MUFG-Analyst-Programme-2027---Corporate-Functions_10079443-WD-1</x:v>
      </x:c>
      <x:c r="N25" s="27" t="str">
        <x:v>10079443-WD-1</x:v>
      </x:c>
      <x:c r="O25" s="27" t="str">
        <x:v>两年轮岗；分配依业务需求。雇主完整JD：https://hk.linkedin.com/jobs/view/mufg-analyst-programme-2027-%E2%80%93-corporate-functions-at-mufg-4465731640</x:v>
      </x:c>
      <x:c r="P25" s="30" t="n">
        <x:f>IF(OR(LEFT(F25,2)="不投",LEFT(F25,2)="已投",LEFT(L25,1)="F"),"",IF(H25="","",H25-'申请追踪'!$B$3))</x:f>
        <x:v>79</x:v>
      </x:c>
      <x:c r="Q25" s="28" t="d">
        <x:v>2026-10-10T00:00:00.000Z</x:v>
      </x:c>
    </x:row>
    <x:row r="26" ht="105" customHeight="1">
      <x:c r="A26" s="27" t="str">
        <x:v>T05</x:v>
      </x:c>
      <x:c r="B26" s="27" t="str">
        <x:v>Arup 奥雅纳</x:v>
      </x:c>
      <x:c r="C26" s="27" t="str">
        <x:v>工程/数字咨询</x:v>
      </x:c>
      <x:c r="D26" s="27" t="str">
        <x:v>Graduate AI Consultant (2027 Intake)</x:v>
      </x:c>
      <x:c r="E26" s="27" t="str">
        <x:v>应用AI</x:v>
      </x:c>
      <x:c r="F26" s="27" t="str">
        <x:v>17 | P2 咨询备选</x:v>
      </x:c>
      <x:c r="G26" s="27" t="str">
        <x:v>官网在招</x:v>
      </x:c>
      <x:c r="H26" s="28"/>
      <x:c r="I26" s="27" t="str">
        <x:v>未公布，滚动审核</x:v>
      </x:c>
      <x:c r="J26" s="27" t="str">
        <x:v>相关本科以上；英语；同类全职经验≤2年；full working rights需确认</x:v>
      </x:c>
      <x:c r="K26" s="27" t="str">
        <x:v>2027</x:v>
      </x:c>
      <x:c r="L26" s="27" t="str">
        <x:v>D 匹配岗位·备选。本周投；附成绩单，展示Agent系统与3D应用；按用户最新偏好降低优先度，保留历史记录。</x:v>
      </x:c>
      <x:c r="M26" s="26" t="str">
        <x:v>https://jobs.arup.com/jobs/graduate-ai-consultant-35212</x:v>
      </x:c>
      <x:c r="N26" s="27" t="str">
        <x:v>HON0003TZ</x:v>
      </x:c>
      <x:c r="O26" s="27" t="str">
        <x:v>优先级基于AI与3D背景匹配的判断；页面未提供详细AI技术职责</x:v>
      </x:c>
      <x:c r="P26" s="30" t="str">
        <x:f>IF(OR(LEFT(F26,2)="不投",LEFT(F26,2)="已投",LEFT(L26,1)="F"),"",IF(H26="","",H26-'申请追踪'!$B$3))</x:f>
      </x:c>
      <x:c r="Q26" s="28" t="d">
        <x:v>2026-10-10T00:00:00.000Z</x:v>
      </x:c>
    </x:row>
    <x:row r="27" ht="105" customHeight="1">
      <x:c r="A27" s="27" t="str">
        <x:v>T36</x:v>
      </x:c>
      <x:c r="B27" s="27" t="str">
        <x:v>PwC 罗兵咸永道</x:v>
      </x:c>
      <x:c r="C27" s="27" t="str">
        <x:v>咨询</x:v>
      </x:c>
      <x:c r="D27" s="27" t="str">
        <x:v>Cloud Engineering, Data &amp; AI Consulting Associate — HK Graduate</x:v>
      </x:c>
      <x:c r="E27" s="27" t="str">
        <x:v>GenAI/Agent/云工程</x:v>
      </x:c>
      <x:c r="F27" s="27" t="str">
        <x:v>18 | P2 咨询备选</x:v>
      </x:c>
      <x:c r="G27" s="27" t="str">
        <x:v>CUHK雇主详细JD已核实；官方入口需提交前确认</x:v>
      </x:c>
      <x:c r="H27" s="28"/>
      <x:c r="I27" s="27" t="str">
        <x:v>校方条目列2027-07-31，可能是展示截止；不视为雇主承诺</x:v>
      </x:c>
      <x:c r="J27" s="27" t="str">
        <x:v>本科/硕士；偏好AI/CS等；Python/SQL、Agent/RAG加分；英语，粤/普通话加分</x:v>
      </x:c>
      <x:c r="K27" s="27" t="str">
        <x:v>2027具体入职月份待核</x:v>
      </x:c>
      <x:c r="L27" s="27" t="str">
        <x:v>D 匹配岗位·备选。工程版简历重点写多Agent及保险LLM交付；确认技术项目分配；按用户最新偏好降低优先度，保留历史记录。</x:v>
      </x:c>
      <x:c r="M27" s="26" t="str">
        <x:v>https://app.mokahr.com/campus-recruitment/pwc/148260?locale=en-US#/job/2475d9fd-284b-4a85-a7db-0facc880e563</x:v>
      </x:c>
      <x:c r="N27" s="27" t="str">
        <x:v>2475d9fd-284b-4a85-a7db-0facc880e563</x:v>
      </x:c>
      <x:c r="O27" s="27" t="str">
        <x:v>完整雇主JD：https://pip.erg.cuhk.edu.hk/app.php/guest/jobs/search/1/j.deadline/asc?type=1 （10680）；咨询兼客户沟通、分析与治理，不保证全部时间写代码。</x:v>
      </x:c>
      <x:c r="P27" s="30" t="str">
        <x:f>IF(OR(LEFT(F27,2)="不投",LEFT(F27,2)="已投",LEFT(L27,1)="F"),"",IF(H27="","",H27-'申请追踪'!$B$3))</x:f>
      </x:c>
      <x:c r="Q27" s="28" t="d">
        <x:v>2026-10-10T00:00:00.000Z</x:v>
      </x:c>
    </x:row>
    <x:row r="28" ht="105" customHeight="1">
      <x:c r="A28" s="27" t="str">
        <x:v>T19</x:v>
      </x:c>
      <x:c r="B28" s="27" t="str">
        <x:v>HKGAI</x:v>
      </x:c>
      <x:c r="C28" s="27" t="str">
        <x:v>应用研发</x:v>
      </x:c>
      <x:c r="D28" s="27" t="str">
        <x:v>Research Engineer / Software Engineer</x:v>
      </x:c>
      <x:c r="E28" s="27" t="str">
        <x:v>LLM/多模态/Agent</x:v>
      </x:c>
      <x:c r="F28" s="27" t="str">
        <x:v>19 | P1 条件匹配</x:v>
      </x:c>
      <x:c r="G28" s="27" t="str">
        <x:v>官网滚动招聘</x:v>
      </x:c>
      <x:c r="H28" s="28"/>
      <x:c r="I28" s="27" t="str">
        <x:v>招满即止</x:v>
      </x:c>
      <x:c r="J28" s="27" t="str">
        <x:v>硕士要求；2027.03毕业前应先询问到岗安排</x:v>
      </x:c>
      <x:c r="K28" s="27" t="str">
        <x:v>待协商</x:v>
      </x:c>
      <x:c r="L28" s="27" t="str">
        <x:v>D 匹配岗位·备选。用研究工程版；核对硕士与1-2年合约</x:v>
      </x:c>
      <x:c r="M28" s="26" t="str">
        <x:v>https://hkustcareers.hkust.edu.hk/hong-kong-generative-ai-research-and-development-center-limited/hkgai0008</x:v>
      </x:c>
      <x:c r="N28" s="27" t="str">
        <x:v>HKGAI0008</x:v>
      </x:c>
      <x:c r="O28" s="27" t="str">
        <x:v>高技术匹配不代表永久职位；应询问续约和项目经费</x:v>
      </x:c>
      <x:c r="P28" s="30" t="str">
        <x:f>IF(OR(LEFT(F28,2)="不投",LEFT(F28,2)="已投",LEFT(L28,1)="F"),"",IF(H28="","",H28-'申请追踪'!$B$3))</x:f>
      </x:c>
      <x:c r="Q28" s="28" t="d">
        <x:v>2026-10-09T00:00:00.000Z</x:v>
      </x:c>
    </x:row>
    <x:row r="29" ht="105" customHeight="1">
      <x:c r="A29" s="27" t="str">
        <x:v>T20</x:v>
      </x:c>
      <x:c r="B29" s="27" t="str">
        <x:v>HKPC 生产力促进局</x:v>
      </x:c>
      <x:c r="C29" s="27" t="str">
        <x:v>应用研发/企业转型</x:v>
      </x:c>
      <x:c r="D29" s="27" t="str">
        <x:v>Assistant Engineer, AI and Data Science</x:v>
      </x:c>
      <x:c r="E29" s="27" t="str">
        <x:v>LLM/Agent/RAG/全栈</x:v>
      </x:c>
      <x:c r="F29" s="27" t="str">
        <x:v>20 | P1 核实后投</x:v>
      </x:c>
      <x:c r="G29" s="27" t="str">
        <x:v>雇主LinkedIn JD已核实；门户名额待核</x:v>
      </x:c>
      <x:c r="H29" s="28"/>
      <x:c r="I29" s="27" t="str">
        <x:v>招满即止；需复核DTD/11060是否仍可申请</x:v>
      </x:c>
      <x:c r="J29" s="27" t="str">
        <x:v>相关本科/STEM；本科路线未列最低年资；Python、前端/API；中英文；24个月合约</x:v>
      </x:c>
      <x:c r="K29" s="27" t="str">
        <x:v>需确认2027.03到岗</x:v>
      </x:c>
      <x:c r="L29" s="27" t="str">
        <x:v>D 匹配岗位·备选。按DTD/11060在官网核对名额与入职时间；符合后投</x:v>
      </x:c>
      <x:c r="M29" s="26" t="str">
        <x:v>https://hk.linkedin.com/jobs/view/assistant-engineer-ai-and-data-science-ref-dtd-11060-at-hkpc-hong-kong-productivity-council-4465491676</x:v>
      </x:c>
      <x:c r="N29" s="27" t="str">
        <x:v>DTD/11060</x:v>
      </x:c>
      <x:c r="O29" s="27" t="str">
        <x:v>职责明确含AI agents、GenAI、LLM、RAG及前后端。不能误投DTD/11074或AI System Architect，后二者要求3-5年经验。</x:v>
      </x:c>
      <x:c r="P29" s="30" t="str">
        <x:f>IF(OR(LEFT(F29,2)="不投",LEFT(F29,2)="已投",LEFT(L29,1)="F"),"",IF(H29="","",H29-'申请追踪'!$B$3))</x:f>
      </x:c>
      <x:c r="Q29" s="28" t="d">
        <x:v>2026-10-10T00:00:00.000Z</x:v>
      </x:c>
    </x:row>
    <x:row r="30" ht="105" customHeight="1">
      <x:c r="A30" s="27" t="str">
        <x:v>T21</x:v>
      </x:c>
      <x:c r="B30" s="27" t="str">
        <x:v>LSCM</x:v>
      </x:c>
      <x:c r="C30" s="27" t="str">
        <x:v>应用研发</x:v>
      </x:c>
      <x:c r="D30" s="27" t="str">
        <x:v>Research/Software Engineer；Graduate Programmes</x:v>
      </x:c>
      <x:c r="E30" s="27" t="str">
        <x:v>AI/3D/工程</x:v>
      </x:c>
      <x:c r="F30" s="27" t="str">
        <x:v>21 | P1 核实后投</x:v>
      </x:c>
      <x:c r="G30" s="27" t="str">
        <x:v>项目及入口已核实</x:v>
      </x:c>
      <x:c r="H30" s="28"/>
      <x:c r="I30" s="27" t="str">
        <x:v>具体岗位待核</x:v>
      </x:c>
      <x:c r="J30" s="27" t="str">
        <x:v>核对学位、研发方向、合约及到岗日期</x:v>
      </x:c>
      <x:c r="K30" s="27" t="str">
        <x:v>待确认</x:v>
      </x:c>
      <x:c r="L30" s="27" t="str">
        <x:v>D 匹配岗位·备选。筛选机器视觉、AI及软件研发岗位</x:v>
      </x:c>
      <x:c r="M30" s="26" t="str">
        <x:v>https://www.lscm.hk/en/about/opening/</x:v>
      </x:c>
      <x:c r="N30" s="27"/>
      <x:c r="O30" s="27" t="str">
        <x:v>技术匹配判断基于研究背景；不是已确认具体offer</x:v>
      </x:c>
      <x:c r="P30" s="30" t="str">
        <x:f>IF(OR(LEFT(F30,2)="不投",LEFT(F30,2)="已投",LEFT(L30,1)="F"),"",IF(H30="","",H30-'申请追踪'!$B$3))</x:f>
      </x:c>
      <x:c r="Q30" s="28" t="d">
        <x:v>2026-10-09T00:00:00.000Z</x:v>
      </x:c>
    </x:row>
    <x:row r="31" ht="105" customHeight="1">
      <x:c r="A31" s="27" t="str">
        <x:v>T54</x:v>
      </x:c>
      <x:c r="B31" s="27" t="str">
        <x:v>Esri China (Hong Kong)</x:v>
      </x:c>
      <x:c r="C31" s="27" t="str">
        <x:v>GIS/企业软件</x:v>
      </x:c>
      <x:c r="D31" s="27" t="str">
        <x:v>Programmer（FG welcome）</x:v>
      </x:c>
      <x:c r="E31" s="27" t="str">
        <x:v>软件开发/GIS</x:v>
      </x:c>
      <x:c r="F31" s="27" t="str">
        <x:v>22 | P2 条件匹配</x:v>
      </x:c>
      <x:c r="G31" s="27" t="str">
        <x:v>官网JD明确欢迎FG</x:v>
      </x:c>
      <x:c r="H31" s="28"/>
      <x:c r="I31" s="27" t="str">
        <x:v>未公布截止</x:v>
      </x:c>
      <x:c r="J31" s="27" t="str">
        <x:v>CS/IT相关学位；.NET/C#或JavaScript框架、SQL；中英文；即刻到岗优先</x:v>
      </x:c>
      <x:c r="K31" s="27" t="str">
        <x:v>即时岗；需确认可延后</x:v>
      </x:c>
      <x:c r="L31" s="27" t="str">
        <x:v>D 匹配岗位·备选。核对已有Web/SQL技能与到岗日期；不用Analyst Programmer级别投</x:v>
      </x:c>
      <x:c r="M31" s="26" t="str">
        <x:v>https://www.esrichina.hk/en-hk/about-esrichinahk/about/career-position/programmer</x:v>
      </x:c>
      <x:c r="N31" s="27"/>
      <x:c r="O31" s="27" t="str">
        <x:v>岗位偏企业软件而非AI研究；2年以上经验才考虑Analyst Programmer。非2027专属校招</x:v>
      </x:c>
      <x:c r="P31" s="30" t="str">
        <x:f>IF(OR(LEFT(F31,2)="不投",LEFT(F31,2)="已投",LEFT(L31,1)="F"),"",IF(H31="","",H31-'申请追踪'!$B$3))</x:f>
      </x:c>
      <x:c r="Q31" s="28" t="d">
        <x:v>2026-10-10T00:00:00.000Z</x:v>
      </x:c>
    </x:row>
    <x:row r="32" ht="105" customHeight="1">
      <x:c r="A32" s="27" t="str">
        <x:v>T44</x:v>
      </x:c>
      <x:c r="B32" s="27" t="str">
        <x:v>Amber Group</x:v>
      </x:c>
      <x:c r="C32" s="27" t="str">
        <x:v>金融科技/数字资产</x:v>
      </x:c>
      <x:c r="D32" s="27" t="str">
        <x:v>内部转正 / AI Engineer</x:v>
      </x:c>
      <x:c r="E32" s="27" t="str">
        <x:v>Agent工程</x:v>
      </x:c>
      <x:c r="F32" s="27" t="str">
        <x:v>23 | P1 内部确认</x:v>
      </x:c>
      <x:c r="G32" s="27" t="str">
        <x:v>转正名额未确认</x:v>
      </x:c>
      <x:c r="H32" s="28"/>
      <x:c r="I32" s="27" t="str">
        <x:v>取决内部headcount</x:v>
      </x:c>
      <x:c r="J32" s="27" t="str">
        <x:v>确认香港雇佣、毕业入职、薪酬与汇报关系</x:v>
      </x:c>
      <x:c r="K32" s="27" t="str">
        <x:v>2027待协商</x:v>
      </x:c>
      <x:c r="L32" s="27" t="str">
        <x:v>D 匹配岗位·备选。由你与主管讨论转正条件；并行外部申请</x:v>
      </x:c>
      <x:c r="M32" s="26" t="str">
        <x:v>https://ambergroup.io/careers?jobType=&amp;location=Hong+Kong&amp;page=1</x:v>
      </x:c>
      <x:c r="N32" s="27"/>
      <x:c r="O32" s="27" t="str">
        <x:v>现实习来自简历；公开有AI Coding职位，但不代表实习可转正</x:v>
      </x:c>
      <x:c r="P32" s="30" t="str">
        <x:f>IF(OR(LEFT(F32,2)="不投",LEFT(F32,2)="已投",LEFT(L32,1)="F"),"",IF(H32="","",H32-'申请追踪'!$B$3))</x:f>
      </x:c>
      <x:c r="Q32" s="28" t="d">
        <x:v>2026-10-09T00:00:00.000Z</x:v>
      </x:c>
    </x:row>
    <x:row r="33" ht="105" customHeight="1">
      <x:c r="A33" s="27" t="str">
        <x:v>T45</x:v>
      </x:c>
      <x:c r="B33" s="27" t="str">
        <x:v>NOVOAI</x:v>
      </x:c>
      <x:c r="C33" s="27" t="str">
        <x:v>保险科技</x:v>
      </x:c>
      <x:c r="D33" s="27" t="str">
        <x:v>回聘 / LLM Full-Stack Engineer</x:v>
      </x:c>
      <x:c r="E33" s="27" t="str">
        <x:v>LLM工程</x:v>
      </x:c>
      <x:c r="F33" s="27" t="str">
        <x:v>24 | P2 内部确认</x:v>
      </x:c>
      <x:c r="G33" s="27" t="str">
        <x:v>回聘机会未确认</x:v>
      </x:c>
      <x:c r="H33" s="28"/>
      <x:c r="I33" s="27" t="str">
        <x:v>无公开招聘核实</x:v>
      </x:c>
      <x:c r="J33" s="27" t="str">
        <x:v>确认正式职位、资金、合同和到岗时间</x:v>
      </x:c>
      <x:c r="K33" s="27" t="str">
        <x:v>待协商</x:v>
      </x:c>
      <x:c r="L33" s="27" t="str">
        <x:v>D 匹配岗位·备选。由你询问原团队正式岗位可能性</x:v>
      </x:c>
      <x:c r="M33" s="26"/>
      <x:c r="N33" s="27"/>
      <x:c r="O33" s="27" t="str">
        <x:v>仅基于用户简历已有实习关系的建议</x:v>
      </x:c>
      <x:c r="P33" s="30" t="str">
        <x:f>IF(OR(LEFT(F33,2)="不投",LEFT(F33,2)="已投",LEFT(L33,1)="F"),"",IF(H33="","",H33-'申请追踪'!$B$3))</x:f>
      </x:c>
      <x:c r="Q33" s="28" t="d">
        <x:v>2026-10-09T00:00:00.000Z</x:v>
      </x:c>
    </x:row>
    <x:row r="34" ht="105" customHeight="1">
      <x:c r="A34" s="27" t="str">
        <x:v>T33</x:v>
      </x:c>
      <x:c r="B34" s="27" t="str">
        <x:v>Deloitte 德勤</x:v>
      </x:c>
      <x:c r="C34" s="27" t="str">
        <x:v>咨询</x:v>
      </x:c>
      <x:c r="D34" s="27" t="str">
        <x:v>2027 Graduate - Technology &amp; Transformation</x:v>
      </x:c>
      <x:c r="E34" s="27" t="str">
        <x:v>AI/数据咨询</x:v>
      </x:c>
      <x:c r="F34" s="27" t="str">
        <x:v>25 | P2 咨询备选</x:v>
      </x:c>
      <x:c r="G34" s="27" t="str">
        <x:v>2027校招官网已开放</x:v>
      </x:c>
      <x:c r="H34" s="28"/>
      <x:c r="I34" s="27" t="str">
        <x:v>具体HK职能截止待核</x:v>
      </x:c>
      <x:c r="J34" s="27" t="str">
        <x:v>筛选Hong Kong；客户沟通、语言及工作权按JD</x:v>
      </x:c>
      <x:c r="K34" s="27" t="str">
        <x:v>2027</x:v>
      </x:c>
      <x:c r="L34" s="27" t="str">
        <x:v>D 匹配岗位·备选。优先技术/AI/Data而非无关审计；查岗位编号；按用户最新偏好降低优先度，保留历史记录。</x:v>
      </x:c>
      <x:c r="M34" s="26" t="str">
        <x:v>https://www.deloitte.com/cn/en/cn-careers/students.html</x:v>
      </x:c>
      <x:c r="N34" s="27"/>
      <x:c r="O34" s="27" t="str">
        <x:v>泛校招开放不代表每一技术团队有名额</x:v>
      </x:c>
      <x:c r="P34" s="30" t="str">
        <x:f>IF(OR(LEFT(F34,2)="不投",LEFT(F34,2)="已投",LEFT(L34,1)="F"),"",IF(H34="","",H34-'申请追踪'!$B$3))</x:f>
      </x:c>
      <x:c r="Q34" s="28" t="d">
        <x:v>2026-10-10T00:00:00.000Z</x:v>
      </x:c>
    </x:row>
    <x:row r="35" ht="105" customHeight="1">
      <x:c r="A35" s="27" t="str">
        <x:v>T34</x:v>
      </x:c>
      <x:c r="B35" s="27" t="str">
        <x:v>EY 安永</x:v>
      </x:c>
      <x:c r="C35" s="27" t="str">
        <x:v>咨询</x:v>
      </x:c>
      <x:c r="D35" s="27" t="str">
        <x:v>Graduate Technology Consulting / AI &amp; Data / Cyber</x:v>
      </x:c>
      <x:c r="E35" s="27" t="str">
        <x:v>技术咨询</x:v>
      </x:c>
      <x:c r="F35" s="27" t="str">
        <x:v>26 | P2 咨询备选</x:v>
      </x:c>
      <x:c r="G35" s="27" t="str">
        <x:v>HK校招入口已核实</x:v>
      </x:c>
      <x:c r="H35" s="28"/>
      <x:c r="I35" s="27" t="str">
        <x:v>本轮技术岗待核</x:v>
      </x:c>
      <x:c r="J35" s="27" t="str">
        <x:v>核对香港、应届、语言和职能；排除Senior Manager</x:v>
      </x:c>
      <x:c r="K35" s="27" t="str">
        <x:v>待确认</x:v>
      </x:c>
      <x:c r="L35" s="27" t="str">
        <x:v>D 匹配岗位·备选。用企业交付版；挑AI、Data或Cyber岗位；按用户最新偏好降低优先度，保留历史记录。</x:v>
      </x:c>
      <x:c r="M35" s="26" t="str">
        <x:v>https://www.ey.com/en_cn/careers/campus-recruitment-in-hong-kong</x:v>
      </x:c>
      <x:c r="N35" s="27"/>
      <x:c r="O35" s="27" t="str">
        <x:v>Technology Risk偏控制审计，不等于AI研发</x:v>
      </x:c>
      <x:c r="P35" s="30" t="str">
        <x:f>IF(OR(LEFT(F35,2)="不投",LEFT(F35,2)="已投",LEFT(L35,1)="F"),"",IF(H35="","",H35-'申请追踪'!$B$3))</x:f>
      </x:c>
      <x:c r="Q35" s="28" t="d">
        <x:v>2026-10-10T00:00:00.000Z</x:v>
      </x:c>
    </x:row>
    <x:row r="36" ht="105" customHeight="1">
      <x:c r="A36" s="27" t="str">
        <x:v>T35</x:v>
      </x:c>
      <x:c r="B36" s="27" t="str">
        <x:v>KPMG 毕马威</x:v>
      </x:c>
      <x:c r="C36" s="27" t="str">
        <x:v>咨询</x:v>
      </x:c>
      <x:c r="D36" s="27" t="str">
        <x:v>Graduate Advisory - Transformation / Technology</x:v>
      </x:c>
      <x:c r="E36" s="27" t="str">
        <x:v>技术咨询</x:v>
      </x:c>
      <x:c r="F36" s="27" t="str">
        <x:v>27 | P2 咨询备选</x:v>
      </x:c>
      <x:c r="G36" s="27" t="str">
        <x:v>Graduate入口已开放</x:v>
      </x:c>
      <x:c r="H36" s="28"/>
      <x:c r="I36" s="27" t="str">
        <x:v>具体HK职位待核</x:v>
      </x:c>
      <x:c r="J36" s="27" t="str">
        <x:v>官网FAQ要求HK永久身份证或有效工作许可；预计IANG需向招聘确认</x:v>
      </x:c>
      <x:c r="K36" s="27" t="str">
        <x:v>待确认</x:v>
      </x:c>
      <x:c r="L36" s="27" t="str">
        <x:v>D 匹配岗位·备选。查香港Transformation岗位及毕业窗口；按用户最新偏好降低优先度，保留历史记录。</x:v>
      </x:c>
      <x:c r="M36" s="26" t="str">
        <x:v>https://kpmg.com/cn/en/careers/campus/graduate-applications.html</x:v>
      </x:c>
      <x:c r="N36" s="27"/>
      <x:c r="O36" s="27" t="str">
        <x:v>资格来源：https://kpmg.com/cn/en/careers/campus/faqs.html</x:v>
      </x:c>
      <x:c r="P36" s="30" t="str">
        <x:f>IF(OR(LEFT(F36,2)="不投",LEFT(F36,2)="已投",LEFT(L36,1)="F"),"",IF(H36="","",H36-'申请追踪'!$B$3))</x:f>
      </x:c>
      <x:c r="Q36" s="28" t="d">
        <x:v>2026-10-10T00:00:00.000Z</x:v>
      </x:c>
    </x:row>
    <x:row r="37" ht="105" customHeight="1">
      <x:c r="A37" s="27" t="str">
        <x:v>T39</x:v>
      </x:c>
      <x:c r="B37" s="27" t="str">
        <x:v>FDM Group</x:v>
      </x:c>
      <x:c r="C37" s="27" t="str">
        <x:v>IT服务/客户派驻</x:v>
      </x:c>
      <x:c r="D37" s="27" t="str">
        <x:v>AI &amp; Automation Engineering Graduate</x:v>
      </x:c>
      <x:c r="E37" s="27" t="str">
        <x:v>AI/软件工程</x:v>
      </x:c>
      <x:c r="F37" s="27" t="str">
        <x:v>28 | P3 补充</x:v>
      </x:c>
      <x:c r="G37" s="27" t="str">
        <x:v>官网在招</x:v>
      </x:c>
      <x:c r="H37" s="28"/>
      <x:c r="I37" s="27" t="str">
        <x:v>未公布</x:v>
      </x:c>
      <x:c r="J37" s="27" t="str">
        <x:v>需要承诺2.5年项目；核对培训、派驻、薪酬及退出条款</x:v>
      </x:c>
      <x:c r="K37" s="27" t="str">
        <x:v>待确认</x:v>
      </x:c>
      <x:c r="L37" s="27" t="str">
        <x:v>D 匹配岗位·备选。作为补充渠道，与直接雇佣的offer比较</x:v>
      </x:c>
      <x:c r="M37" s="26" t="str">
        <x:v>https://careers.fdmgroup.com/vacancies/840/data--analytics-graduate-programme--hong-kong.html</x:v>
      </x:c>
      <x:c r="N37" s="27" t="str">
        <x:v>840</x:v>
      </x:c>
      <x:c r="O37" s="27" t="str">
        <x:v>雇主是FDM；进入银行客户项目不等于银行直接雇佣</x:v>
      </x:c>
      <x:c r="P37" s="30" t="str">
        <x:f>IF(OR(LEFT(F37,2)="不投",LEFT(F37,2)="已投",LEFT(L37,1)="F"),"",IF(H37="","",H37-'申请追踪'!$B$3))</x:f>
      </x:c>
      <x:c r="Q37" s="28" t="d">
        <x:v>2026-10-09T00:00:00.000Z</x:v>
      </x:c>
    </x:row>
    <x:row r="38" ht="105" customHeight="1">
      <x:c r="A38" s="27" t="str">
        <x:v>T18</x:v>
      </x:c>
      <x:c r="B38" s="27" t="str">
        <x:v>Airport Authority 机管局</x:v>
      </x:c>
      <x:c r="C38" s="27" t="str">
        <x:v>基础设施</x:v>
      </x:c>
      <x:c r="D38" s="27" t="str">
        <x:v>IT Trainee Programme</x:v>
      </x:c>
      <x:c r="E38" s="27" t="str">
        <x:v>技术GT</x:v>
      </x:c>
      <x:c r="F38" s="27" t="str">
        <x:v>29 | P1 监测</x:v>
      </x:c>
      <x:c r="G38" s="27" t="str">
        <x:v>官方预告，待开放</x:v>
      </x:c>
      <x:c r="H38" s="28"/>
      <x:c r="I38" s="27" t="str">
        <x:v>官网：2026年11月公布详情</x:v>
      </x:c>
      <x:c r="J38" s="27" t="str">
        <x:v>接受AI/Data等相关专业；英语及中文口语</x:v>
      </x:c>
      <x:c r="K38" s="27" t="str">
        <x:v>2027待确认</x:v>
      </x:c>
      <x:c r="L38" s="27" t="str">
        <x:v>E 观察·先核实香港职位。11月1日复查IT Trainee页面</x:v>
      </x:c>
      <x:c r="M38" s="26" t="str">
        <x:v>https://www.hongkongairport.com/en/careers/programmes/it-trainee.page</x:v>
      </x:c>
      <x:c r="N38" s="27"/>
      <x:c r="O38" s="27" t="str">
        <x:v>两年IT轮岗；当前不是已确认开放投递</x:v>
      </x:c>
      <x:c r="P38" s="30" t="str">
        <x:f>IF(OR(LEFT(F38,2)="不投",LEFT(F38,2)="已投",LEFT(L38,1)="F"),"",IF(H38="","",H38-'申请追踪'!$B$3))</x:f>
      </x:c>
      <x:c r="Q38" s="28" t="d">
        <x:v>2026-10-09T00:00:00.000Z</x:v>
      </x:c>
    </x:row>
    <x:row r="39" ht="105" customHeight="1">
      <x:c r="A39" s="27" t="str">
        <x:v>T55</x:v>
      </x:c>
      <x:c r="B39" s="27" t="str">
        <x:v>ASL 自动系统</x:v>
      </x:c>
      <x:c r="C39" s="27" t="str">
        <x:v>IT服务/上市港企</x:v>
      </x:c>
      <x:c r="D39" s="27" t="str">
        <x:v>Graduate Trainee — 技术方向（观察2027批次）</x:v>
      </x:c>
      <x:c r="E39" s="27" t="str">
        <x:v>企业IT/软件/云</x:v>
      </x:c>
      <x:c r="F39" s="27" t="str">
        <x:v>30 | P2 监测</x:v>
      </x:c>
      <x:c r="G39" s="27" t="str">
        <x:v>仅核实到2026项目，2027待公布</x:v>
      </x:c>
      <x:c r="H39" s="28"/>
      <x:c r="I39" s="27" t="str">
        <x:v>2027截止未公布</x:v>
      </x:c>
      <x:c r="J39" s="27" t="str">
        <x:v>不可把2026项目当作2027招生；核对各技术stream及毕业窗口</x:v>
      </x:c>
      <x:c r="K39" s="27" t="str">
        <x:v>2027待核</x:v>
      </x:c>
      <x:c r="L39" s="27" t="str">
        <x:v>E 观察·先核实香港职位。观察2027批次，或独立初级开发岗；暂不按旧项目投递</x:v>
      </x:c>
      <x:c r="M39" s="26" t="str">
        <x:v>https://www1.asl.com.hk/us/people-asl/graduate-trainee-program/</x:v>
      </x:c>
      <x:c r="N39" s="27"/>
      <x:c r="O39" s="27" t="str">
        <x:v>官网检索可见2026标题；本轮正文读取超时。2026入口：https://application.asl.com.hk/job/Graduate-Trainee-Programme-2026-%28Quick-Apply%29/1451-en_GB/</x:v>
      </x:c>
      <x:c r="P39" s="30" t="str">
        <x:f>IF(OR(LEFT(F39,2)="不投",LEFT(F39,2)="已投",LEFT(L39,1)="F"),"",IF(H39="","",H39-'申请追踪'!$B$3))</x:f>
      </x:c>
      <x:c r="Q39" s="28" t="d">
        <x:v>2026-10-10T00:00:00.000Z</x:v>
      </x:c>
    </x:row>
    <x:row r="40" ht="105" customHeight="1">
      <x:c r="A40" s="27" t="str">
        <x:v>T60</x:v>
      </x:c>
      <x:c r="B40" s="27" t="str">
        <x:v>Schneider Electric 施耐德电气</x:v>
      </x:c>
      <x:c r="C40" s="27" t="str">
        <x:v>外企/工业数字化</x:v>
      </x:c>
      <x:c r="D40" s="27" t="str">
        <x:v>Hong Kong Graduate Trainee — 观察2027 Digital/Software方向</x:v>
      </x:c>
      <x:c r="E40" s="27" t="str">
        <x:v>技术GT / 数字化</x:v>
      </x:c>
      <x:c r="F40" s="27" t="str">
        <x:v>31 | P2 观察</x:v>
      </x:c>
      <x:c r="G40" s="27" t="str">
        <x:v>仅核实2026旧项目；已关闭</x:v>
      </x:c>
      <x:c r="H40" s="28"/>
      <x:c r="I40" s="27" t="str">
        <x:v>2027未确认；不沿用2026截止</x:v>
      </x:c>
      <x:c r="J40" s="27" t="str">
        <x:v>2026项目含Digital &amp; Software；2027学位、粤语要求待新JD</x:v>
      </x:c>
      <x:c r="K40" s="27" t="str">
        <x:v>2027待核</x:v>
      </x:c>
      <x:c r="L40" s="27" t="str">
        <x:v>E 观察·先核实香港职位。观察香港2027批次；旧项目不能提交为新申请</x:v>
      </x:c>
      <x:c r="M40" s="26" t="str">
        <x:v>https://hk.linkedin.com/jobs/view/graduate-trainee-at-schneider-electric-4324127297</x:v>
      </x:c>
      <x:c r="N40" s="27"/>
      <x:c r="O40" s="27" t="str">
        <x:v>新增外企观察目标，不计入当前可投岗位。2026项目原截止已过。</x:v>
      </x:c>
      <x:c r="P40" s="30" t="str">
        <x:f>IF(OR(LEFT(F40,2)="不投",LEFT(F40,2)="已投",LEFT(L40,1)="F"),"",IF(H40="","",H40-'申请追踪'!$B$3))</x:f>
      </x:c>
      <x:c r="Q40" s="28" t="d">
        <x:v>2026-10-10T00:00:00.000Z</x:v>
      </x:c>
    </x:row>
    <x:row r="41" ht="105" customHeight="1">
      <x:c r="A41" s="27" t="str">
        <x:v>T61</x:v>
      </x:c>
      <x:c r="B41" s="27" t="str">
        <x:v>Siemens 西门子</x:v>
      </x:c>
      <x:c r="C41" s="27" t="str">
        <x:v>外企/工业科技</x:v>
      </x:c>
      <x:c r="D41" s="27" t="str">
        <x:v>Hong Kong Graduate / Digital Industries / Mobility初级技术岗</x:v>
      </x:c>
      <x:c r="E41" s="27" t="str">
        <x:v>企业IT / 自动化</x:v>
      </x:c>
      <x:c r="F41" s="27" t="str">
        <x:v>32 | P2 观察</x:v>
      </x:c>
      <x:c r="G41" s="27" t="str">
        <x:v>2027全球/内地校招可见；香港具体岗未核实</x:v>
      </x:c>
      <x:c r="H41" s="28"/>
      <x:c r="I41" s="27" t="str">
        <x:v>不能把全球校招时间当香港截止</x:v>
      </x:c>
      <x:c r="J41" s="27" t="str">
        <x:v>地点香港、应届年资及DS/CS专业资格逐岗核对</x:v>
      </x:c>
      <x:c r="K41" s="27" t="str">
        <x:v>2027待核</x:v>
      </x:c>
      <x:c r="L41" s="27" t="str">
        <x:v>E 观察·先核实香港职位。只筛Hong Kong初级软件/数字化岗，不将内地SGP混入香港主投</x:v>
      </x:c>
      <x:c r="M41" s="26" t="str">
        <x:v>https://www.siemens.com/en-gb/company/jobs/campus-recruiting/</x:v>
      </x:c>
      <x:c r="N41" s="27"/>
      <x:c r="O41" s="27" t="str">
        <x:v>新增大型外企观察目标；不是已核实香港2027 GT。</x:v>
      </x:c>
      <x:c r="P41" s="30" t="str">
        <x:f>IF(OR(LEFT(F41,2)="不投",LEFT(F41,2)="已投",LEFT(L41,1)="F"),"",IF(H41="","",H41-'申请追踪'!$B$3))</x:f>
      </x:c>
      <x:c r="Q41" s="28" t="d">
        <x:v>2026-10-10T00:00:00.000Z</x:v>
      </x:c>
    </x:row>
    <x:row r="42" ht="105" customHeight="1">
      <x:c r="A42" s="27" t="str">
        <x:v>T23</x:v>
      </x:c>
      <x:c r="B42" s="27" t="str">
        <x:v>HKICL 香港银行同业结算</x:v>
      </x:c>
      <x:c r="C42" s="27" t="str">
        <x:v>金融基础设施</x:v>
      </x:c>
      <x:c r="D42" s="27" t="str">
        <x:v>IT Application Development / 初级开发</x:v>
      </x:c>
      <x:c r="E42" s="27" t="str">
        <x:v>软件/金融系统</x:v>
      </x:c>
      <x:c r="F42" s="27" t="str">
        <x:v>33 | P2 拓展</x:v>
      </x:c>
      <x:c r="G42" s="27" t="str">
        <x:v>招聘入口已核实</x:v>
      </x:c>
      <x:c r="H42" s="28"/>
      <x:c r="I42" s="27" t="str">
        <x:v>具体初级岗位待核</x:v>
      </x:c>
      <x:c r="J42" s="27" t="str">
        <x:v>核对年资、开发语言、轮班和支持职责</x:v>
      </x:c>
      <x:c r="K42" s="27" t="str">
        <x:v>待确认</x:v>
      </x:c>
      <x:c r="L42" s="27" t="str">
        <x:v>E 观察·先核实香港职位。找程序开发/系统岗，避开年资门槛过高者</x:v>
      </x:c>
      <x:c r="M42" s="26" t="str">
        <x:v>https://www.hkicl.com.hk/eng/career/</x:v>
      </x:c>
      <x:c r="N42" s="27"/>
      <x:c r="O42" s="27" t="str">
        <x:v>不要将结算营运trainee等同软件开发</x:v>
      </x:c>
      <x:c r="P42" s="30" t="str">
        <x:f>IF(OR(LEFT(F42,2)="不投",LEFT(F42,2)="已投",LEFT(L42,1)="F"),"",IF(H42="","",H42-'申请追踪'!$B$3))</x:f>
      </x:c>
      <x:c r="Q42" s="28" t="d">
        <x:v>2026-10-09T00:00:00.000Z</x:v>
      </x:c>
    </x:row>
    <x:row r="43" ht="105" customHeight="1">
      <x:c r="A43" s="27" t="str">
        <x:v>T29</x:v>
      </x:c>
      <x:c r="B43" s="27" t="str">
        <x:v>AIA 友邦</x:v>
      </x:c>
      <x:c r="C43" s="27" t="str">
        <x:v>保险</x:v>
      </x:c>
      <x:c r="D43" s="27" t="str">
        <x:v>Future Leaders / Technology &amp; Data初级岗位</x:v>
      </x:c>
      <x:c r="E43" s="27" t="str">
        <x:v>保险AI/数据</x:v>
      </x:c>
      <x:c r="F43" s="27" t="str">
        <x:v>34 | P2 核实</x:v>
      </x:c>
      <x:c r="G43" s="27" t="str">
        <x:v>项目及企业入口已核实</x:v>
      </x:c>
      <x:c r="H43" s="28"/>
      <x:c r="I43" s="27" t="str">
        <x:v>2027批次待核</x:v>
      </x:c>
      <x:c r="J43" s="27" t="str">
        <x:v>只选Corporate岗位；核对技术轨道、语言和年资</x:v>
      </x:c>
      <x:c r="K43" s="27" t="str">
        <x:v>待确认</x:v>
      </x:c>
      <x:c r="L43" s="27" t="str">
        <x:v>E 观察·先核实香港职位。只看Corporate AI/软件/IT，综合Future Leaders暂不排主投</x:v>
      </x:c>
      <x:c r="M43" s="26" t="str">
        <x:v>https://www.aia.com.hk/en/about-aia/careers</x:v>
      </x:c>
      <x:c r="N43" s="27"/>
      <x:c r="O43" s="27" t="str">
        <x:v>保险代理招聘不属于本次目标</x:v>
      </x:c>
      <x:c r="P43" s="30" t="str">
        <x:f>IF(OR(LEFT(F43,2)="不投",LEFT(F43,2)="已投",LEFT(L43,1)="F"),"",IF(H43="","",H43-'申请追踪'!$B$3))</x:f>
      </x:c>
      <x:c r="Q43" s="28" t="d">
        <x:v>2026-10-09T00:00:00.000Z</x:v>
      </x:c>
    </x:row>
    <x:row r="44" ht="105" customHeight="1">
      <x:c r="A44" s="27" t="str">
        <x:v>T30</x:v>
      </x:c>
      <x:c r="B44" s="27" t="str">
        <x:v>Manulife 宏利</x:v>
      </x:c>
      <x:c r="C44" s="27" t="str">
        <x:v>保险</x:v>
      </x:c>
      <x:c r="D44" s="27" t="str">
        <x:v>LEAD / Technology / Data初级岗位</x:v>
      </x:c>
      <x:c r="E44" s="27" t="str">
        <x:v>保险AI/数据</x:v>
      </x:c>
      <x:c r="F44" s="27" t="str">
        <x:v>35 | P2 核实</x:v>
      </x:c>
      <x:c r="G44" s="27" t="str">
        <x:v>项目存在；HK2027待核</x:v>
      </x:c>
      <x:c r="H44" s="28"/>
      <x:c r="I44" s="27" t="str">
        <x:v>全球AI Graduate不等于HK开放</x:v>
      </x:c>
      <x:c r="J44" s="27" t="str">
        <x:v>核对香港地点、批次及技术职责</x:v>
      </x:c>
      <x:c r="K44" s="27" t="str">
        <x:v>待确认</x:v>
      </x:c>
      <x:c r="L44" s="27" t="str">
        <x:v>E 观察·先核实香港职位。只看HK技术开发/IT；LEAD综合轮岗无技术保证则暂缓</x:v>
      </x:c>
      <x:c r="M44" s="26" t="str">
        <x:v>https://www.manulife.com.hk/en/individual/about/join-us/corporate-employee/asia-lead-program.html</x:v>
      </x:c>
      <x:c r="N44" s="27"/>
      <x:c r="O44" s="27" t="str">
        <x:v>旧2026 placement不作为2027全职岗位</x:v>
      </x:c>
      <x:c r="P44" s="30" t="str">
        <x:f>IF(OR(LEFT(F44,2)="不投",LEFT(F44,2)="已投",LEFT(L44,1)="F"),"",IF(H44="","",H44-'申请追踪'!$B$3))</x:f>
      </x:c>
      <x:c r="Q44" s="28" t="d">
        <x:v>2026-10-09T00:00:00.000Z</x:v>
      </x:c>
    </x:row>
    <x:row r="45" ht="105" customHeight="1">
      <x:c r="A45" s="27" t="str">
        <x:v>T31</x:v>
      </x:c>
      <x:c r="B45" s="27" t="str">
        <x:v>FWD 富卫</x:v>
      </x:c>
      <x:c r="C45" s="27" t="str">
        <x:v>保险</x:v>
      </x:c>
      <x:c r="D45" s="27" t="str">
        <x:v>Junior AI / Data / Technology</x:v>
      </x:c>
      <x:c r="E45" s="27" t="str">
        <x:v>保险AI/工程</x:v>
      </x:c>
      <x:c r="F45" s="27" t="str">
        <x:v>36 | P2 监测</x:v>
      </x:c>
      <x:c r="G45" s="27" t="str">
        <x:v>企业招聘入口已核实</x:v>
      </x:c>
      <x:c r="H45" s="28"/>
      <x:c r="I45" s="27" t="str">
        <x:v>未核实具体FG全职</x:v>
      </x:c>
      <x:c r="J45" s="27" t="str">
        <x:v>筛选香港企业技术岗位、0-2年经验</x:v>
      </x:c>
      <x:c r="K45" s="27" t="str">
        <x:v>待确认</x:v>
      </x:c>
      <x:c r="L45" s="27" t="str">
        <x:v>E 观察·先核实香港职位。突出理赔Agent与审计验证经验</x:v>
      </x:c>
      <x:c r="M45" s="26" t="str">
        <x:v>https://www.fwd.com/en/join-us/</x:v>
      </x:c>
      <x:c r="N45" s="27"/>
      <x:c r="O45" s="27" t="str">
        <x:v>目前查到的co-op和internship不是毕业生全职项目</x:v>
      </x:c>
      <x:c r="P45" s="30" t="str">
        <x:f>IF(OR(LEFT(F45,2)="不投",LEFT(F45,2)="已投",LEFT(L45,1)="F"),"",IF(H45="","",H45-'申请追踪'!$B$3))</x:f>
      </x:c>
      <x:c r="Q45" s="28" t="d">
        <x:v>2026-10-09T00:00:00.000Z</x:v>
      </x:c>
    </x:row>
    <x:row r="46" ht="105" customHeight="1">
      <x:c r="A46" s="27" t="str">
        <x:v>T32</x:v>
      </x:c>
      <x:c r="B46" s="27" t="str">
        <x:v>Prudential 保诚</x:v>
      </x:c>
      <x:c r="C46" s="27" t="str">
        <x:v>保险</x:v>
      </x:c>
      <x:c r="D46" s="27" t="str">
        <x:v>AI Engineer / Data Engineering初级岗</x:v>
      </x:c>
      <x:c r="E46" s="27" t="str">
        <x:v>保险AI/工程</x:v>
      </x:c>
      <x:c r="F46" s="27" t="str">
        <x:v>37 | P2 条件匹配</x:v>
      </x:c>
      <x:c r="G46" s="27" t="str">
        <x:v>AI岗位线索；FG资格待核</x:v>
      </x:c>
      <x:c r="H46" s="28"/>
      <x:c r="I46" s="27" t="str">
        <x:v>岗位/地点详情待核</x:v>
      </x:c>
      <x:c r="J46" s="27" t="str">
        <x:v>AI Engineer可能要求经验；Assistant Manager不能自动视为FG</x:v>
      </x:c>
      <x:c r="K46" s="27" t="str">
        <x:v>待确认</x:v>
      </x:c>
      <x:c r="L46" s="27" t="str">
        <x:v>E 观察·先核实香港职位。核对26050211等JD地点年资；只投符合项</x:v>
      </x:c>
      <x:c r="M46" s="26" t="str">
        <x:v>https://prudential.wd3.myworkdayjobs.com/zh-TW/prudential/job/AI-Engineer_26050211</x:v>
      </x:c>
      <x:c r="N46" s="27" t="str">
        <x:v>26050211</x:v>
      </x:c>
      <x:c r="O46" s="27" t="str">
        <x:v>用户保险LLM项目相关；不是已确认应届岗位</x:v>
      </x:c>
      <x:c r="P46" s="30" t="str">
        <x:f>IF(OR(LEFT(F46,2)="不投",LEFT(F46,2)="已投",LEFT(L46,1)="F"),"",IF(H46="","",H46-'申请追踪'!$B$3))</x:f>
      </x:c>
      <x:c r="Q46" s="28" t="d">
        <x:v>2026-10-09T00:00:00.000Z</x:v>
      </x:c>
    </x:row>
    <x:row r="47" ht="105" customHeight="1">
      <x:c r="A47" s="27" t="str">
        <x:v>T37</x:v>
      </x:c>
      <x:c r="B47" s="27" t="str">
        <x:v>IBM</x:v>
      </x:c>
      <x:c r="C47" s="27" t="str">
        <x:v>IT服务/科技</x:v>
      </x:c>
      <x:c r="D47" s="27" t="str">
        <x:v>Associate Consultant / Junior Data &amp; AI</x:v>
      </x:c>
      <x:c r="E47" s="27" t="str">
        <x:v>技术咨询/工程</x:v>
      </x:c>
      <x:c r="F47" s="27" t="str">
        <x:v>38 | P2 监测</x:v>
      </x:c>
      <x:c r="G47" s="27" t="str">
        <x:v>全球早期人才入口已核实</x:v>
      </x:c>
      <x:c r="H47" s="28"/>
      <x:c r="I47" s="27" t="str">
        <x:v>未核实HK2027具体岗位</x:v>
      </x:c>
      <x:c r="J47" s="27" t="str">
        <x:v>确认岗位所在地香港及应届年资</x:v>
      </x:c>
      <x:c r="K47" s="27" t="str">
        <x:v>待确认</x:v>
      </x:c>
      <x:c r="L47" s="27" t="str">
        <x:v>E 观察·先核实香港职位。筛Hong Kong、Entry Level、AI/Data</x:v>
      </x:c>
      <x:c r="M47" s="26" t="str">
        <x:v>https://www.ibm.com/careers/career-opportunities?source=WEB_Search_EMEA</x:v>
      </x:c>
      <x:c r="N47" s="27"/>
      <x:c r="O47" s="27" t="str">
        <x:v>全球Graduate项目不能自动当作香港开放</x:v>
      </x:c>
      <x:c r="P47" s="30" t="str">
        <x:f>IF(OR(LEFT(F47,2)="不投",LEFT(F47,2)="已投",LEFT(L47,1)="F"),"",IF(H47="","",H47-'申请追踪'!$B$3))</x:f>
      </x:c>
      <x:c r="Q47" s="28" t="d">
        <x:v>2026-10-09T00:00:00.000Z</x:v>
      </x:c>
    </x:row>
    <x:row r="48" ht="105" customHeight="1">
      <x:c r="A48" s="27" t="str">
        <x:v>T38</x:v>
      </x:c>
      <x:c r="B48" s="27" t="str">
        <x:v>NTT DATA / NTT Com Asia</x:v>
      </x:c>
      <x:c r="C48" s="27" t="str">
        <x:v>IT服务/科技</x:v>
      </x:c>
      <x:c r="D48" s="27" t="str">
        <x:v>Junior Engineer / Data / Cloud / Graduate</x:v>
      </x:c>
      <x:c r="E48" s="27" t="str">
        <x:v>技术工程</x:v>
      </x:c>
      <x:c r="F48" s="27" t="str">
        <x:v>39 | P2 监测</x:v>
      </x:c>
      <x:c r="G48" s="27" t="str">
        <x:v>招聘入口已核实</x:v>
      </x:c>
      <x:c r="H48" s="28"/>
      <x:c r="I48" s="27" t="str">
        <x:v>HK FG具体岗位待核</x:v>
      </x:c>
      <x:c r="J48" s="27" t="str">
        <x:v>NTT DATA与NTT Com Asia实体不同；核对雇主与地点</x:v>
      </x:c>
      <x:c r="K48" s="27" t="str">
        <x:v>待确认</x:v>
      </x:c>
      <x:c r="L48" s="27" t="str">
        <x:v>E 观察·先核实香港职位。筛HK初级软件、云、数据岗</x:v>
      </x:c>
      <x:c r="M48" s="26" t="str">
        <x:v>https://www.ntt.com.hk/careers</x:v>
      </x:c>
      <x:c r="N48" s="27"/>
      <x:c r="O48" s="27" t="str">
        <x:v>NTT DATA入口：https://careers.nttdata.com/global/en</x:v>
      </x:c>
      <x:c r="P48" s="30" t="str">
        <x:f>IF(OR(LEFT(F48,2)="不投",LEFT(F48,2)="已投",LEFT(L48,1)="F"),"",IF(H48="","",H48-'申请追踪'!$B$3))</x:f>
      </x:c>
      <x:c r="Q48" s="28" t="d">
        <x:v>2026-10-09T00:00:00.000Z</x:v>
      </x:c>
    </x:row>
    <x:row r="49" ht="105" customHeight="1">
      <x:c r="A49" s="27" t="str">
        <x:v>T24</x:v>
      </x:c>
      <x:c r="B49" s="27" t="str">
        <x:v>Hang Seng 恒生</x:v>
      </x:c>
      <x:c r="C49" s="27" t="str">
        <x:v>银行</x:v>
      </x:c>
      <x:c r="D49" s="27" t="str">
        <x:v>MT / 数字分析 / Technology初级岗位</x:v>
      </x:c>
      <x:c r="E49" s="27" t="str">
        <x:v>银行科技/数据</x:v>
      </x:c>
      <x:c r="F49" s="27" t="str">
        <x:v>40 | P2 核实</x:v>
      </x:c>
      <x:c r="G49" s="27" t="str">
        <x:v>项目存在；技术轨道待核</x:v>
      </x:c>
      <x:c r="H49" s="28"/>
      <x:c r="I49" s="27" t="str">
        <x:v>2027具体职位待核</x:v>
      </x:c>
      <x:c r="J49" s="27" t="str">
        <x:v>核对粤语、GPA与志愿限制；不是所有MT做技术</x:v>
      </x:c>
      <x:c r="K49" s="27" t="str">
        <x:v>2027待确认</x:v>
      </x:c>
      <x:c r="L49" s="27" t="str">
        <x:v>E 观察·先核实香港职位。只核实技术开发/IT轨道；泛MT和纯统计分析不排入主投</x:v>
      </x:c>
      <x:c r="M49" s="26" t="str">
        <x:v>https://www.hangseng.com/about/careers/management-trainee-program/</x:v>
      </x:c>
      <x:c r="N49" s="27"/>
      <x:c r="O49" s="27" t="str">
        <x:v>旧Chief Operating Office &amp; Technology信息不等于本轮开放</x:v>
      </x:c>
      <x:c r="P49" s="30" t="str">
        <x:f>IF(OR(LEFT(F49,2)="不投",LEFT(F49,2)="已投",LEFT(L49,1)="F"),"",IF(H49="","",H49-'申请追踪'!$B$3))</x:f>
      </x:c>
      <x:c r="Q49" s="28" t="d">
        <x:v>2026-10-09T00:00:00.000Z</x:v>
      </x:c>
    </x:row>
    <x:row r="50" ht="105" customHeight="1">
      <x:c r="A50" s="27" t="str">
        <x:v>T25</x:v>
      </x:c>
      <x:c r="B50" s="27" t="str">
        <x:v>DBS 星展</x:v>
      </x:c>
      <x:c r="C50" s="27" t="str">
        <x:v>银行</x:v>
      </x:c>
      <x:c r="D50" s="27" t="str">
        <x:v>Hong Kong Management Associate / T&amp;O</x:v>
      </x:c>
      <x:c r="E50" s="27" t="str">
        <x:v>科技/运营</x:v>
      </x:c>
      <x:c r="F50" s="27" t="str">
        <x:v>41 | P2 监测</x:v>
      </x:c>
      <x:c r="G50" s="27" t="str">
        <x:v>项目存在；2027待核</x:v>
      </x:c>
      <x:c r="H50" s="28"/>
      <x:c r="I50" s="27" t="str">
        <x:v>不沿用2026招生日期</x:v>
      </x:c>
      <x:c r="J50" s="27" t="str">
        <x:v>区分香港与新加坡SEED；核对香港具体技术岗位</x:v>
      </x:c>
      <x:c r="K50" s="27" t="str">
        <x:v>待确认</x:v>
      </x:c>
      <x:c r="L50" s="27" t="str">
        <x:v>E 观察·先核实香港职位。只核实明确的软件、云、IT技术岗位；不以综合MA代替技术职缺</x:v>
      </x:c>
      <x:c r="M50" s="26" t="str">
        <x:v>https://www.dbs.com/careers/management-associate-programme/hong-kong</x:v>
      </x:c>
      <x:c r="N50" s="27"/>
      <x:c r="O50" s="27" t="str">
        <x:v>官网有HK项目；未核实2027科技名额</x:v>
      </x:c>
      <x:c r="P50" s="30" t="str">
        <x:f>IF(OR(LEFT(F50,2)="不投",LEFT(F50,2)="已投",LEFT(L50,1)="F"),"",IF(H50="","",H50-'申请追踪'!$B$3))</x:f>
      </x:c>
      <x:c r="Q50" s="28" t="d">
        <x:v>2026-10-09T00:00:00.000Z</x:v>
      </x:c>
    </x:row>
    <x:row r="51" ht="105" customHeight="1">
      <x:c r="A51" s="27" t="str">
        <x:v>T26</x:v>
      </x:c>
      <x:c r="B51" s="27" t="str">
        <x:v>Standard Chartered 渣打</x:v>
      </x:c>
      <x:c r="C51" s="27" t="str">
        <x:v>银行</x:v>
      </x:c>
      <x:c r="D51" s="27" t="str">
        <x:v>HK Graduate / Technology / Data相关初级岗</x:v>
      </x:c>
      <x:c r="E51" s="27" t="str">
        <x:v>银行科技/数据</x:v>
      </x:c>
      <x:c r="F51" s="27" t="str">
        <x:v>42 | P2 监测</x:v>
      </x:c>
      <x:c r="G51" s="27" t="str">
        <x:v>早期人才入口已核实</x:v>
      </x:c>
      <x:c r="H51" s="28"/>
      <x:c r="I51" s="27" t="str">
        <x:v>2027香港技术岗未核实</x:v>
      </x:c>
      <x:c r="J51" s="27" t="str">
        <x:v>不要误投新加坡或印度Technology Programme</x:v>
      </x:c>
      <x:c r="K51" s="27" t="str">
        <x:v>待确认</x:v>
      </x:c>
      <x:c r="L51" s="27" t="str">
        <x:v>E 观察·先核实香港职位。按Hong Kong与Technology筛选；核对具体JD</x:v>
      </x:c>
      <x:c r="M51" s="26" t="str">
        <x:v>https://www.sc.com/en/global-careers/early-careers/local-programmes-for-students/hong-kong-student-opportunities/</x:v>
      </x:c>
      <x:c r="N51" s="27"/>
      <x:c r="O51" s="27" t="str">
        <x:v>GBA项目有内地工作安排；香港限定需排除</x:v>
      </x:c>
      <x:c r="P51" s="30" t="str">
        <x:f>IF(OR(LEFT(F51,2)="不投",LEFT(F51,2)="已投",LEFT(L51,1)="F"),"",IF(H51="","",H51-'申请追踪'!$B$3))</x:f>
      </x:c>
      <x:c r="Q51" s="28" t="d">
        <x:v>2026-10-09T00:00:00.000Z</x:v>
      </x:c>
    </x:row>
    <x:row r="52" ht="105" customHeight="1">
      <x:c r="A52" s="27" t="str">
        <x:v>T46</x:v>
      </x:c>
      <x:c r="B52" s="27" t="str">
        <x:v>Towngas 中华煤气</x:v>
      </x:c>
      <x:c r="C52" s="27" t="str">
        <x:v>公用事业</x:v>
      </x:c>
      <x:c r="D52" s="27" t="str">
        <x:v>IT/Data初级岗；Group Management Trainee</x:v>
      </x:c>
      <x:c r="E52" s="27" t="str">
        <x:v>数字/综合管理</x:v>
      </x:c>
      <x:c r="F52" s="27" t="str">
        <x:v>43 | P2 监测</x:v>
      </x:c>
      <x:c r="G52" s="27" t="str">
        <x:v>项目入口已核实</x:v>
      </x:c>
      <x:c r="H52" s="28"/>
      <x:c r="I52" s="27" t="str">
        <x:v>2027批次待核</x:v>
      </x:c>
      <x:c r="J52" s="27" t="str">
        <x:v>核对专业、香港工作地点及轮岗</x:v>
      </x:c>
      <x:c r="K52" s="27" t="str">
        <x:v>待确认</x:v>
      </x:c>
      <x:c r="L52" s="27" t="str">
        <x:v>E 观察·先核实香港职位。只监测IT/软件/AI初级岗；Group MT暂不排主投</x:v>
      </x:c>
      <x:c r="M52" s="26" t="str">
        <x:v>https://www.towngas.com/en/Careers/Job-Opportunities/Graduates-and-Students</x:v>
      </x:c>
      <x:c r="N52" s="27"/>
      <x:c r="O52" s="27" t="str">
        <x:v>技术岗位和集团MT分开评估</x:v>
      </x:c>
      <x:c r="P52" s="30" t="str">
        <x:f>IF(OR(LEFT(F52,2)="不投",LEFT(F52,2)="已投",LEFT(L52,1)="F"),"",IF(H52="","",H52-'申请追踪'!$B$3))</x:f>
      </x:c>
      <x:c r="Q52" s="28" t="d">
        <x:v>2026-10-09T00:00:00.000Z</x:v>
      </x:c>
    </x:row>
    <x:row r="53" ht="105" customHeight="1">
      <x:c r="A53" s="27" t="str">
        <x:v>T41</x:v>
      </x:c>
      <x:c r="B53" s="27" t="str">
        <x:v>Bloomberg</x:v>
      </x:c>
      <x:c r="C53" s="27" t="str">
        <x:v>金融数据/科技</x:v>
      </x:c>
      <x:c r="D53" s="27" t="str">
        <x:v>HK Data / Technical Support / Graduate Engineering</x:v>
      </x:c>
      <x:c r="E53" s="27" t="str">
        <x:v>数据/技术</x:v>
      </x:c>
      <x:c r="F53" s="27" t="str">
        <x:v>44 | P2 监测</x:v>
      </x:c>
      <x:c r="G53" s="27" t="str">
        <x:v>招聘入口已核实</x:v>
      </x:c>
      <x:c r="H53" s="28"/>
      <x:c r="I53" s="27" t="str">
        <x:v>未核实HK软件FG名额</x:v>
      </x:c>
      <x:c r="J53" s="27" t="str">
        <x:v>岗位区别大；Analytics &amp; Sales不等于Data Science</x:v>
      </x:c>
      <x:c r="K53" s="27" t="str">
        <x:v>待确认</x:v>
      </x:c>
      <x:c r="L53" s="27" t="str">
        <x:v>E 观察·先核实香港职位。筛香港与early career；按职责决定是否投</x:v>
      </x:c>
      <x:c r="M53" s="26" t="str">
        <x:v>https://bloomberg.com/careers</x:v>
      </x:c>
      <x:c r="N53" s="27"/>
      <x:c r="O53" s="27" t="str">
        <x:v>当前仅作为目标雇主，不声称2027香港SWE已开放</x:v>
      </x:c>
      <x:c r="P53" s="30" t="str">
        <x:f>IF(OR(LEFT(F53,2)="不投",LEFT(F53,2)="已投",LEFT(L53,1)="F"),"",IF(H53="","",H53-'申请追踪'!$B$3))</x:f>
      </x:c>
      <x:c r="Q53" s="28" t="d">
        <x:v>2026-10-09T00:00:00.000Z</x:v>
      </x:c>
    </x:row>
    <x:row r="54" ht="105" customHeight="1">
      <x:c r="A54" s="27" t="str">
        <x:v>T42</x:v>
      </x:c>
      <x:c r="B54" s="27" t="str">
        <x:v>WeLab</x:v>
      </x:c>
      <x:c r="C54" s="27" t="str">
        <x:v>金融科技</x:v>
      </x:c>
      <x:c r="D54" s="27" t="str">
        <x:v>香港Data Scientist（资历受限）；junior技术岗观察</x:v>
      </x:c>
      <x:c r="E54" s="27" t="str">
        <x:v>数据/工程</x:v>
      </x:c>
      <x:c r="F54" s="27" t="str">
        <x:v>45 | P2 监测</x:v>
      </x:c>
      <x:c r="G54" s="27" t="str">
        <x:v>官方BambooHR在招Assistant Manager / Manager, Data Scientist；要求3–5年。</x:v>
      </x:c>
      <x:c r="H54" s="28"/>
      <x:c r="I54" s="27" t="str">
        <x:v>2026-10-13官网岗位未注明截止；2021/22培训生资料不用于本届。</x:v>
      </x:c>
      <x:c r="J54" s="27" t="str">
        <x:v>相关本科/硕士，Python/SQL、ML及大数据；3–5年，较少经验可考虑AM，不等于明确接受FG。</x:v>
      </x:c>
      <x:c r="K54" s="27" t="str">
        <x:v>未注明；2027到岗待确认</x:v>
      </x:c>
      <x:c r="L54" s="27" t="str">
        <x:v>保留雇主池，等待junior AI/数据/软件岗；当前DS岗不作FG优先。</x:v>
      </x:c>
      <x:c r="M54" s="26" t="str">
        <x:v>https://welab.bamboohr.com/careers/935</x:v>
      </x:c>
      <x:c r="N54" s="27"/>
      <x:c r="O54" s="27" t="str">
        <x:v>图片公司合并更新。https://www.welab.co/en/careers/ 官方指向BambooHR；浏览器已核JD。客服岗欢迎FG，但不是AI技术岗。</x:v>
      </x:c>
      <x:c r="P54" s="30" t="str">
        <x:f>IF(OR(LEFT(F54,2)="不投",LEFT(F54,2)="已投",LEFT(L54,1)="F"),"",IF(H54="","",H54-'申请追踪'!$B$3))</x:f>
      </x:c>
      <x:c r="Q54" s="28" t="d">
        <x:v>2026-10-13T00:00:00.000Z</x:v>
      </x:c>
    </x:row>
    <x:row r="55" ht="105" customHeight="1">
      <x:c r="A55" s="27" t="str">
        <x:v>T43</x:v>
      </x:c>
      <x:c r="B55" s="27" t="str">
        <x:v>Airwallex</x:v>
      </x:c>
      <x:c r="C55" s="27" t="str">
        <x:v>金融科技</x:v>
      </x:c>
      <x:c r="D55" s="27" t="str">
        <x:v>Junior Data / Software / Solutions</x:v>
      </x:c>
      <x:c r="E55" s="27" t="str">
        <x:v>工程/解决方案</x:v>
      </x:c>
      <x:c r="F55" s="27" t="str">
        <x:v>46 | P3 监测</x:v>
      </x:c>
      <x:c r="G55" s="27" t="str">
        <x:v>招聘入口已核实</x:v>
      </x:c>
      <x:c r="H55" s="28"/>
      <x:c r="I55" s="27" t="str">
        <x:v>未核实HK初级技术岗</x:v>
      </x:c>
      <x:c r="J55" s="27" t="str">
        <x:v>香港列表偏商业岗；确认无需搬至新加坡/内地</x:v>
      </x:c>
      <x:c r="K55" s="27" t="str">
        <x:v>待确认</x:v>
      </x:c>
      <x:c r="L55" s="27" t="str">
        <x:v>E 观察·先核实香港职位。只有出现匹配HK职位时投入定制申请</x:v>
      </x:c>
      <x:c r="M55" s="26" t="str">
        <x:v>https://careers.airwallex.com/jobs/</x:v>
      </x:c>
      <x:c r="N55" s="27"/>
      <x:c r="O55" s="27" t="str">
        <x:v>不将全球技术招聘当作香港技术名额</x:v>
      </x:c>
      <x:c r="P55" s="30" t="str">
        <x:f>IF(OR(LEFT(F55,2)="不投",LEFT(F55,2)="已投",LEFT(L55,1)="F"),"",IF(H55="","",H55-'申请追踪'!$B$3))</x:f>
      </x:c>
      <x:c r="Q55" s="28" t="d">
        <x:v>2026-10-09T00:00:00.000Z</x:v>
      </x:c>
    </x:row>
    <x:row r="56" ht="105" customHeight="1">
      <x:c r="A56" s="27" t="str">
        <x:v>T22</x:v>
      </x:c>
      <x:c r="B56" s="27" t="str">
        <x:v>Huawei Noah's Ark Lab</x:v>
      </x:c>
      <x:c r="C56" s="27" t="str">
        <x:v>科技研发</x:v>
      </x:c>
      <x:c r="D56" s="27" t="str">
        <x:v>Research Engineer / AI Algorithm</x:v>
      </x:c>
      <x:c r="E56" s="27" t="str">
        <x:v>研究工程</x:v>
      </x:c>
      <x:c r="F56" s="27" t="str">
        <x:v>47 | P2 冲刺</x:v>
      </x:c>
      <x:c r="G56" s="27" t="str">
        <x:v>招聘入口已核实</x:v>
      </x:c>
      <x:c r="H56" s="28"/>
      <x:c r="I56" s="27" t="str">
        <x:v>具体HK FG岗位待核</x:v>
      </x:c>
      <x:c r="J56" s="27" t="str">
        <x:v>区分硕士Research Engineer与博士Scientist；确认香港雇佣</x:v>
      </x:c>
      <x:c r="K56" s="27" t="str">
        <x:v>待确认</x:v>
      </x:c>
      <x:c r="L56" s="27" t="str">
        <x:v>E 观察·先核实香港职位。用研究版，突出VLM、鲁棒性、量化</x:v>
      </x:c>
      <x:c r="M56" s="26" t="str">
        <x:v>https://www.noahlab.com.hk/recruitment</x:v>
      </x:c>
      <x:c r="N56" s="27"/>
      <x:c r="O56" s="27" t="str">
        <x:v>岗位可跨香港/深圳，需确认实际地点</x:v>
      </x:c>
      <x:c r="P56" s="30" t="str">
        <x:f>IF(OR(LEFT(F56,2)="不投",LEFT(F56,2)="已投",LEFT(L56,1)="F"),"",IF(H56="","",H56-'申请追踪'!$B$3))</x:f>
      </x:c>
      <x:c r="Q56" s="28" t="d">
        <x:v>2026-10-09T00:00:00.000Z</x:v>
      </x:c>
    </x:row>
    <x:row r="57" ht="105" customHeight="1">
      <x:c r="A57" s="27" t="str">
        <x:v>T48</x:v>
      </x:c>
      <x:c r="B57" s="27" t="str">
        <x:v>HKSTP Talent Pool（渠道）</x:v>
      </x:c>
      <x:c r="C57" s="27" t="str">
        <x:v>人才平台</x:v>
      </x:c>
      <x:c r="D57" s="27" t="str">
        <x:v>园区企业AI/ML/Research Engineer</x:v>
      </x:c>
      <x:c r="E57" s="27" t="str">
        <x:v>招聘渠道</x:v>
      </x:c>
      <x:c r="F57" s="27" t="str">
        <x:v>48 | P2 持续筛选</x:v>
      </x:c>
      <x:c r="G57" s="27" t="str">
        <x:v>人才平台已核实</x:v>
      </x:c>
      <x:c r="H57" s="28"/>
      <x:c r="I57" s="27" t="str">
        <x:v>按实际雇主和岗位</x:v>
      </x:c>
      <x:c r="J57" s="27" t="str">
        <x:v>平台不是雇主；确认公司规模、合同和资金情况</x:v>
      </x:c>
      <x:c r="K57" s="27" t="str">
        <x:v>待确认</x:v>
      </x:c>
      <x:c r="L57" s="27" t="str">
        <x:v>E 观察·先核实香港职位。每周筛香港0-2年AI研发职位</x:v>
      </x:c>
      <x:c r="M57" s="26" t="str">
        <x:v>https://talent.hkstp.org/</x:v>
      </x:c>
      <x:c r="N57" s="27"/>
      <x:c r="O57" s="27" t="str">
        <x:v>不把园区公司一律当作稳定大型企业</x:v>
      </x:c>
      <x:c r="P57" s="30" t="str">
        <x:f>IF(OR(LEFT(F57,2)="不投",LEFT(F57,2)="已投",LEFT(L57,1)="F"),"",IF(H57="","",H57-'申请追踪'!$B$3))</x:f>
      </x:c>
      <x:c r="Q57" s="28" t="d">
        <x:v>2026-10-09T00:00:00.000Z</x:v>
      </x:c>
    </x:row>
    <x:row r="58" ht="105" customHeight="1">
      <x:c r="A58" s="24" t="str">
        <x:v>T27</x:v>
      </x:c>
      <x:c r="B58" s="24" t="str">
        <x:v>Société Générale 法兴</x:v>
      </x:c>
      <x:c r="C58" s="24" t="str">
        <x:v>银行</x:v>
      </x:c>
      <x:c r="D58" s="24" t="str">
        <x:v>TRAINEE Data Quality / Data Analyst</x:v>
      </x:c>
      <x:c r="E58" s="24" t="str">
        <x:v>数据/治理</x:v>
      </x:c>
      <x:c r="F58" s="24" t="str">
        <x:v>49 | P2 时间冲突</x:v>
      </x:c>
      <x:c r="G58" s="24" t="str">
        <x:v>官网列岗；到岗冲突</x:v>
      </x:c>
      <x:c r="H58" s="25"/>
      <x:c r="I58" s="24" t="str">
        <x:v>Data Quality起始2026-12-01</x:v>
      </x:c>
      <x:c r="J58" s="24" t="str">
        <x:v>24个月全职trainee通常需已毕业；用户硕士2027.03</x:v>
      </x:c>
      <x:c r="K58" s="24" t="str">
        <x:v>2026-12-01</x:v>
      </x:c>
      <x:c r="L58" s="24" t="str">
        <x:v>F 暂缓·有具体限制。先核对是否可延后；同时观察2027新岗位</x:v>
      </x:c>
      <x:c r="M58" s="26" t="str">
        <x:v>https://careers.societegenerale.com/en/job-offers/trainee-data-quality-assistant-26000K1X-en</x:v>
      </x:c>
      <x:c r="N58" s="24" t="str">
        <x:v>26000K1X</x:v>
      </x:c>
      <x:c r="O58" s="24" t="str">
        <x:v>不要将trainee默认为未来校招或永久合同</x:v>
      </x:c>
      <x:c r="P58" s="24" t="str">
        <x:f>IF(OR(LEFT(F58,2)="不投",LEFT(F58,2)="已投",LEFT(L58,1)="F"),"",IF(H58="","",H58-'申请追踪'!$B$3))</x:f>
      </x:c>
      <x:c r="Q58" s="25" t="d">
        <x:v>2026-10-09T00:00:00.000Z</x:v>
      </x:c>
    </x:row>
    <x:row r="59" ht="105" customHeight="1">
      <x:c r="A59" s="24" t="str">
        <x:v>T47</x:v>
      </x:c>
      <x:c r="B59" s="24" t="str">
        <x:v>CLP 中电</x:v>
      </x:c>
      <x:c r="C59" s="24" t="str">
        <x:v>公用事业</x:v>
      </x:c>
      <x:c r="D59" s="24" t="str">
        <x:v>2027 Engineering Graduate Trainee；另看IT/Data</x:v>
      </x:c>
      <x:c r="E59" s="24" t="str">
        <x:v>公用事业技术</x:v>
      </x:c>
      <x:c r="F59" s="24" t="str">
        <x:v>50 | 观察 资格不匹配</x:v>
      </x:c>
      <x:c r="G59" s="24" t="str">
        <x:v>工程GT专业不匹配</x:v>
      </x:c>
      <x:c r="H59" s="25" t="d">
        <x:v>2026-12-06T00:00:00.000Z</x:v>
      </x:c>
      <x:c r="I59" s="24" t="str">
        <x:v>官方工程GT截止</x:v>
      </x:c>
      <x:c r="J59" s="24" t="str">
        <x:v>该工程GT明确要求Electrical/Mechanical Engineering</x:v>
      </x:c>
      <x:c r="K59" s="24" t="str">
        <x:v>2027年8月</x:v>
      </x:c>
      <x:c r="L59" s="24" t="str">
        <x:v>F 暂缓·有具体限制。不优先投此GT；只观察独立IT/Data岗位</x:v>
      </x:c>
      <x:c r="M59" s="26" t="str">
        <x:v>https://www.clpgroup.com/en/careers/working-at-clp/graduate-trainee.html</x:v>
      </x:c>
      <x:c r="N59" s="24"/>
      <x:c r="O59" s="24" t="str">
        <x:v>Data Science学位不能仅凭BEng字样视为满足电气/机械要求</x:v>
      </x:c>
      <x:c r="P59" s="24" t="str">
        <x:f>IF(OR(LEFT(F59,2)="不投",LEFT(F59,2)="已投",LEFT(L59,1)="F"),"",IF(H59="","",H59-'申请追踪'!$B$3))</x:f>
      </x:c>
      <x:c r="Q59" s="25" t="d">
        <x:v>2026-10-09T00:00:00.000Z</x:v>
      </x:c>
    </x:row>
    <x:row r="60" ht="105" customHeight="1">
      <x:c r="A60" s="24" t="str">
        <x:v>T07</x:v>
      </x:c>
      <x:c r="B60" s="24" t="str">
        <x:v>Marshall Wace</x:v>
      </x:c>
      <x:c r="C60" s="24" t="str">
        <x:v>资管/技术</x:v>
      </x:c>
      <x:c r="D60" s="24" t="str">
        <x:v>Software/Infrastructure Graduate 2027 Hong Kong</x:v>
      </x:c>
      <x:c r="E60" s="24" t="str">
        <x:v>软件/基础设施</x:v>
      </x:c>
      <x:c r="F60" s="24" t="str">
        <x:v>51 | 观察 非主线</x:v>
      </x:c>
      <x:c r="G60" s="24" t="str">
        <x:v>官网在招</x:v>
      </x:c>
      <x:c r="H60" s="25"/>
      <x:c r="I60" s="24" t="str">
        <x:v>未公布</x:v>
      </x:c>
      <x:c r="J60" s="24" t="str">
        <x:v>仅可申请一个岗位及地点；可提供签证支持</x:v>
      </x:c>
      <x:c r="K60" s="24" t="str">
        <x:v>2027-09-06</x:v>
      </x:c>
      <x:c r="L60" s="24" t="str">
        <x:v>F 暂缓·有具体限制。资管高难度冲刺，按本轮偏好移出主投队列；未判定不符合资格。</x:v>
      </x:c>
      <x:c r="M60" s="26" t="str">
        <x:v>https://job-boards.greenhouse.io/mw-tech-grad/jobs/8646984002</x:v>
      </x:c>
      <x:c r="N60" s="24" t="str">
        <x:v>8646984002</x:v>
      </x:c>
      <x:c r="O60" s="24" t="str">
        <x:v>18-24个月轮岗；研究成果不能替代编码能力</x:v>
      </x:c>
      <x:c r="P60" s="24" t="str">
        <x:f>IF(OR(LEFT(F60,2)="不投",LEFT(F60,2)="已投",LEFT(L60,1)="F"),"",IF(H60="","",H60-'申请追踪'!$B$3))</x:f>
      </x:c>
      <x:c r="Q60" s="25" t="d">
        <x:v>2026-10-09T00:00:00.000Z</x:v>
      </x:c>
    </x:row>
    <x:row r="61" ht="105" customHeight="1">
      <x:c r="A61" s="24" t="str">
        <x:v>T40</x:v>
      </x:c>
      <x:c r="B61" s="24" t="str">
        <x:v>Jane Street</x:v>
      </x:c>
      <x:c r="C61" s="24" t="str">
        <x:v>交易/科技</x:v>
      </x:c>
      <x:c r="D61" s="24" t="str">
        <x:v>Software Engineer, Hong Kong</x:v>
      </x:c>
      <x:c r="E61" s="24" t="str">
        <x:v>软件工程</x:v>
      </x:c>
      <x:c r="F61" s="24" t="str">
        <x:v>52 | 观察 非主线</x:v>
      </x:c>
      <x:c r="G61" s="24" t="str">
        <x:v>官网列岗</x:v>
      </x:c>
      <x:c r="H61" s="25"/>
      <x:c r="I61" s="24" t="str">
        <x:v>未公布</x:v>
      </x:c>
      <x:c r="J61" s="24" t="str">
        <x:v>高强度编程与问题求解；核对毕业到岗安排</x:v>
      </x:c>
      <x:c r="K61" s="24" t="str">
        <x:v>待协商</x:v>
      </x:c>
      <x:c r="L61" s="24" t="str">
        <x:v>F 暂缓·有具体限制。Jane Street不再主动排入本轮主投；按用户偏好优先实际AI/IT匹配。</x:v>
      </x:c>
      <x:c r="M61" s="26" t="str">
        <x:v>https://www.janestreet.com/join-jane-street/position/4756741002/</x:v>
      </x:c>
      <x:c r="N61" s="24" t="str">
        <x:v>4756741002</x:v>
      </x:c>
      <x:c r="O61" s="24" t="str">
        <x:v>不依赖金融背景包装；不是以AI论文替代算法能力</x:v>
      </x:c>
      <x:c r="P61" s="24" t="str">
        <x:f>IF(OR(LEFT(F61,2)="不投",LEFT(F61,2)="已投",LEFT(L61,1)="F"),"",IF(H61="","",H61-'申请追踪'!$B$3))</x:f>
      </x:c>
      <x:c r="Q61" s="25" t="d">
        <x:v>2026-10-09T00:00:00.000Z</x:v>
      </x:c>
    </x:row>
    <x:row r="62" ht="105" customHeight="1">
      <x:c r="A62" s="24" t="str">
        <x:v>T28</x:v>
      </x:c>
      <x:c r="B62" s="24" t="str">
        <x:v>BNP Paribas 法巴</x:v>
      </x:c>
      <x:c r="C62" s="24" t="str">
        <x:v>银行</x:v>
      </x:c>
      <x:c r="D62" s="24" t="str">
        <x:v>2027 IT &amp; Operations Graduate</x:v>
      </x:c>
      <x:c r="E62" s="24" t="str">
        <x:v>IT/分析</x:v>
      </x:c>
      <x:c r="F62" s="24" t="str">
        <x:v>53 | 观察 已关闭</x:v>
      </x:c>
      <x:c r="G62" s="24" t="str">
        <x:v>官网显示已填满</x:v>
      </x:c>
      <x:c r="H62" s="25"/>
      <x:c r="I62" s="24" t="str">
        <x:v>页面更新2026-10-04</x:v>
      </x:c>
      <x:c r="J62" s="24" t="str">
        <x:v>本来为2027.07入职；同轮只处理一个申请</x:v>
      </x:c>
      <x:c r="K62" s="24" t="str">
        <x:v>2027-07</x:v>
      </x:c>
      <x:c r="L62" s="24" t="str">
        <x:v>F 暂缓·有具体限制。不要按搜索摘要投旧岗；关注重开/新的初级岗位</x:v>
      </x:c>
      <x:c r="M62" s="26" t="str">
        <x:v>https://group.bnpparibas/en/careers/job-offer/2027-apac-graduate-programme-information-technology-operations-hong-kong</x:v>
      </x:c>
      <x:c r="N62" s="24" t="str">
        <x:v>1234567890100117522</x:v>
      </x:c>
      <x:c r="O62" s="24" t="str">
        <x:v>官网正文：Sorry, this position is already filled</x:v>
      </x:c>
      <x:c r="P62" s="24" t="str">
        <x:f>IF(OR(LEFT(F62,2)="不投",LEFT(F62,2)="已投",LEFT(L62,1)="F"),"",IF(H62="","",H62-'申请追踪'!$B$3))</x:f>
      </x:c>
      <x:c r="Q62" s="25" t="d">
        <x:v>2026-10-09T00:00:00.000Z</x:v>
      </x:c>
    </x:row>
    <x:row r="63" ht="105" customHeight="1">
      <x:c r="A63" s="24" t="str">
        <x:v>T04</x:v>
      </x:c>
      <x:c r="B63" s="24" t="str">
        <x:v>Cathay Pacific 国泰</x:v>
      </x:c>
      <x:c r="C63" s="24" t="str">
        <x:v>大型港企/航空</x:v>
      </x:c>
      <x:c r="D63" s="24" t="str">
        <x:v>2027 Digital &amp; IT Graduate Trainee (Hong Kong track)</x:v>
      </x:c>
      <x:c r="E63" s="24" t="str">
        <x:v>技术GT</x:v>
      </x:c>
      <x:c r="F63" s="24" t="str">
        <x:v>已投 跟进</x:v>
      </x:c>
      <x:c r="G63" s="24" t="str">
        <x:v>用户确认：国泰已投递；后续未报告</x:v>
      </x:c>
      <x:c r="H63" s="25" t="d">
        <x:v>2026-11-15T00:00:00.000Z</x:v>
      </x:c>
      <x:c r="I63" s="24" t="str">
        <x:v>官方截止</x:v>
      </x:c>
      <x:c r="J63" s="24" t="str">
        <x:v>应届或毕业两年内；HK轨道英语；工作权需确认，欢迎IANG</x:v>
      </x:c>
      <x:c r="K63" s="24" t="str">
        <x:v>2027</x:v>
      </x:c>
      <x:c r="L63" s="24" t="str">
        <x:v>保存确认邮件及申请编号；补实际提交日，准备后续测评</x:v>
      </x:c>
      <x:c r="M63" s="26" t="str">
        <x:v>https://careers.cathaypacific.com/en/careers/jobs/hong-kong/2027-digital-it-graduate-trainee-programme-hk-gba-32165</x:v>
      </x:c>
      <x:c r="N63" s="24" t="str">
        <x:v>32165</x:v>
      </x:c>
      <x:c r="O63" s="24" t="str">
        <x:v>2026-10-10用户确认已投；记录日不等于实际投递日。</x:v>
      </x:c>
      <x:c r="P63" s="24" t="str">
        <x:f>IF(OR(LEFT(F63,2)="不投",LEFT(F63,2)="已投",LEFT(L63,1)="F"),"",IF(H63="","",H63-'申请追踪'!$B$3))</x:f>
      </x:c>
      <x:c r="Q63" s="25" t="d">
        <x:v>2026-10-10T00:00:00.000Z</x:v>
      </x:c>
    </x:row>
    <x:row r="64" ht="105" customHeight="1">
      <x:c r="A64" s="24" t="str">
        <x:v>T08</x:v>
      </x:c>
      <x:c r="B64" s="24" t="str">
        <x:v>ASTRI 应科院</x:v>
      </x:c>
      <x:c r="C64" s="24" t="str">
        <x:v>应用研发</x:v>
      </x:c>
      <x:c r="D64" s="24" t="str">
        <x:v>已投职位待补；另核实Multimodal AI Engineer</x:v>
      </x:c>
      <x:c r="E64" s="24" t="str">
        <x:v>应用AI研发</x:v>
      </x:c>
      <x:c r="F64" s="24" t="str">
        <x:v>已投 跟进</x:v>
      </x:c>
      <x:c r="G64" s="24" t="str">
        <x:v>已有申请；另有相关在招</x:v>
      </x:c>
      <x:c r="H64" s="25"/>
      <x:c r="I64" s="24" t="str">
        <x:v>按岗位</x:v>
      </x:c>
      <x:c r="J64" s="24" t="str">
        <x:v>已核实岗位欢迎FG，本科以上；核对入职时间</x:v>
      </x:c>
      <x:c r="K64" s="24" t="str">
        <x:v>待确认</x:v>
      </x:c>
      <x:c r="L64" s="24" t="str">
        <x:v>补原岗位编号，避免重复；比较CTO/AIPS/CLI/2279</x:v>
      </x:c>
      <x:c r="M64" s="26" t="str">
        <x:v>https://careers.astri.org/job/Senior-Engineer-Engineer-Engineering-Associate-%28PI%29%2C-Multimodal-AI-Engineer/55060144/</x:v>
      </x:c>
      <x:c r="N64" s="24" t="str">
        <x:v>CTO/AIPS/CLI/2279</x:v>
      </x:c>
      <x:c r="O64" s="24" t="str">
        <x:v>用户原申请岗位未知；此JD涵盖LLM、多模态、量化、Agent</x:v>
      </x:c>
      <x:c r="P64" s="24" t="str">
        <x:f>IF(OR(LEFT(F64,2)="不投",LEFT(F64,2)="已投",LEFT(L64,1)="F"),"",IF(H64="","",H64-'申请追踪'!$B$3))</x:f>
      </x:c>
      <x:c r="Q64" s="25" t="d">
        <x:v>2026-10-09T00:00:00.000Z</x:v>
      </x:c>
    </x:row>
    <x:row r="65" ht="105" customHeight="1">
      <x:c r="A65" s="24" t="str">
        <x:v>T09</x:v>
      </x:c>
      <x:c r="B65" s="24" t="str">
        <x:v>HSBC 汇丰</x:v>
      </x:c>
      <x:c r="C65" s="24" t="str">
        <x:v>银行</x:v>
      </x:c>
      <x:c r="D65" s="24" t="str">
        <x:v>已投项目待补；相关Engineering Graduate 2027</x:v>
      </x:c>
      <x:c r="E65" s="24" t="str">
        <x:v>技术GT</x:v>
      </x:c>
      <x:c r="F65" s="24" t="str">
        <x:v>已投 跟进</x:v>
      </x:c>
      <x:c r="G65" s="24" t="str">
        <x:v>用户：OT+笔试完成</x:v>
      </x:c>
      <x:c r="H65" s="25" t="d">
        <x:v>2026-10-31T00:00:00.000Z</x:v>
      </x:c>
      <x:c r="I65" s="24" t="str">
        <x:v>仅对应已核实Engineering项目</x:v>
      </x:c>
      <x:c r="J65" s="24" t="str">
        <x:v>Engineering：GPA≥3.2/4或4/5；2027.07前毕业；英语；不提供担保</x:v>
      </x:c>
      <x:c r="K65" s="24" t="str">
        <x:v>2027-07-19</x:v>
      </x:c>
      <x:c r="L65" s="24" t="str">
        <x:v>确认所投项目名称；查测试提交回执与下一阶段</x:v>
      </x:c>
      <x:c r="M65" s="26" t="str">
        <x:v>https://apply.careers.hsbc.com/emergingtalent/job/Central-Engineering-Graduate-Hong/1371075057/</x:v>
      </x:c>
      <x:c r="N65" s="24" t="str">
        <x:v>1371075057</x:v>
      </x:c>
      <x:c r="O65" s="24" t="str">
        <x:v>不能把Engineering截止日认定为用户未知项目的截止日</x:v>
      </x:c>
      <x:c r="P65" s="24" t="str">
        <x:f>IF(OR(LEFT(F65,2)="不投",LEFT(F65,2)="已投",LEFT(L65,1)="F"),"",IF(H65="","",H65-'申请追踪'!$B$3))</x:f>
      </x:c>
      <x:c r="Q65" s="25" t="d">
        <x:v>2026-10-09T00:00:00.000Z</x:v>
      </x:c>
    </x:row>
    <x:row r="66" ht="105" customHeight="1">
      <x:c r="A66" s="24" t="str">
        <x:v>T10</x:v>
      </x:c>
      <x:c r="B66" s="24" t="str">
        <x:v>UBS</x:v>
      </x:c>
      <x:c r="C66" s="24" t="str">
        <x:v>银行</x:v>
      </x:c>
      <x:c r="D66" s="24" t="str">
        <x:v>已投职位待补</x:v>
      </x:c>
      <x:c r="E66" s="24" t="str">
        <x:v>待确认</x:v>
      </x:c>
      <x:c r="F66" s="24" t="str">
        <x:v>已投 跟进</x:v>
      </x:c>
      <x:c r="G66" s="24" t="str">
        <x:v>用户：笔试完成</x:v>
      </x:c>
      <x:c r="H66" s="25"/>
      <x:c r="I66" s="24" t="str">
        <x:v>未核实</x:v>
      </x:c>
      <x:c r="J66" s="24" t="str">
        <x:v>公司已确认；具体岗位与资格待补</x:v>
      </x:c>
      <x:c r="K66" s="24" t="str">
        <x:v>待确认</x:v>
      </x:c>
      <x:c r="L66" s="24" t="str">
        <x:v>补具体岗位及投递/测试日期，查看后续通知</x:v>
      </x:c>
      <x:c r="M66" s="26"/>
      <x:c r="N66" s="24"/>
      <x:c r="O66" s="24" t="str">
        <x:v>2026-10-11用户确认UBC就是UBS；笔试完成。具体项目仍待补。</x:v>
      </x:c>
      <x:c r="P66" s="24" t="str">
        <x:f>IF(OR(LEFT(F66,2)="不投",LEFT(F66,2)="已投",LEFT(L66,1)="F"),"",IF(H66="","",H66-'申请追踪'!$B$3))</x:f>
      </x:c>
      <x:c r="Q66" s="25" t="d">
        <x:v>2026-10-11T00:00:00.000Z</x:v>
      </x:c>
    </x:row>
    <x:row r="67" ht="105" customHeight="1">
      <x:c r="A67" s="24" t="str">
        <x:v>T11</x:v>
      </x:c>
      <x:c r="B67" s="24" t="str">
        <x:v>HKEX 港交所</x:v>
      </x:c>
      <x:c r="C67" s="24" t="str">
        <x:v>交易所</x:v>
      </x:c>
      <x:c r="D67" s="24" t="str">
        <x:v>已投项目待补；相关2027 Graduate Associate</x:v>
      </x:c>
      <x:c r="E67" s="24" t="str">
        <x:v>Technology Enablement</x:v>
      </x:c>
      <x:c r="F67" s="24" t="str">
        <x:v>已投 跟进</x:v>
      </x:c>
      <x:c r="G67" s="24" t="str">
        <x:v>用户：已投无后续</x:v>
      </x:c>
      <x:c r="H67" s="25" t="d">
        <x:v>2026-10-25T00:00:00.000Z</x:v>
      </x:c>
      <x:c r="I67" s="24" t="str">
        <x:v>官方2027 Graduate Associate截止</x:v>
      </x:c>
      <x:c r="J67" s="24" t="str">
        <x:v>毕业2025.08-2027.07；GPA3.5/4或二等一等价；英语</x:v>
      </x:c>
      <x:c r="K67" s="24" t="str">
        <x:v>2027</x:v>
      </x:c>
      <x:c r="L67" s="24" t="str">
        <x:v>确认选的方向和成绩资格；检查申请完整性</x:v>
      </x:c>
      <x:c r="M67" s="26" t="str">
        <x:v>https://www.hkexgroup.com/About-HKEX/Careers-at-HKEX/Early-Careers?sc_lang=en</x:v>
      </x:c>
      <x:c r="N67" s="24"/>
      <x:c r="O67" s="24" t="str">
        <x:v>工作经验&lt;2年；最多两方向；官网表明可为获录用国际候选人提供签证支持</x:v>
      </x:c>
      <x:c r="P67" s="24" t="str">
        <x:f>IF(OR(LEFT(F67,2)="不投",LEFT(F67,2)="已投",LEFT(L67,1)="F"),"",IF(H67="","",H67-'申请追踪'!$B$3))</x:f>
      </x:c>
      <x:c r="Q67" s="25" t="d">
        <x:v>2026-10-09T00:00:00.000Z</x:v>
      </x:c>
    </x:row>
    <x:row r="68" ht="105" customHeight="1">
      <x:c r="A68" s="24" t="str">
        <x:v>T01</x:v>
      </x:c>
      <x:c r="B68" s="24" t="str">
        <x:v>中银香港 BOCHK</x:v>
      </x:c>
      <x:c r="C68" s="24" t="str">
        <x:v>银行</x:v>
      </x:c>
      <x:c r="D68" s="24" t="str">
        <x:v>2027 Management Trainee</x:v>
      </x:c>
      <x:c r="E68" s="24" t="str">
        <x:v>综合MT</x:v>
      </x:c>
      <x:c r="F68" s="24" t="str">
        <x:v>不投 用户决定</x:v>
      </x:c>
      <x:c r="G68" s="24" t="str">
        <x:v>官方截止已过</x:v>
      </x:c>
      <x:c r="H68" s="25" t="d">
        <x:v>2026-10-09T00:00:00.000Z</x:v>
      </x:c>
      <x:c r="I68" s="24" t="str">
        <x:v>官方：24:00 HKT</x:v>
      </x:c>
      <x:c r="J68" s="24" t="str">
        <x:v>硕士毕业时间匹配；核对毕业后全职经验定义及中英文</x:v>
      </x:c>
      <x:c r="K68" s="24" t="str">
        <x:v>2027，常见8-10月</x:v>
      </x:c>
      <x:c r="L68" s="24" t="str">
        <x:v>停止投递及跟进提醒</x:v>
      </x:c>
      <x:c r="M68" s="26" t="str">
        <x:v>https://www.bochk.com/en/career/ustudentprogramme/mgttrainee.html</x:v>
      </x:c>
      <x:c r="N68" s="24" t="str">
        <x:v>500104</x:v>
      </x:c>
      <x:c r="O68" s="24" t="str">
        <x:v>2026-10-10 用户决定：用户判断为HR管培、方向不匹配，明确不投。具体原始JD待核；保留历史来源。</x:v>
      </x:c>
      <x:c r="P68" s="24" t="str">
        <x:f>IF(OR(LEFT(F68,2)="不投",LEFT(F68,2)="已投",LEFT(L68,1)="F"),"",IF(H68="","",H68-'申请追踪'!$B$3))</x:f>
      </x:c>
      <x:c r="Q68" s="25" t="d">
        <x:v>2026-10-10T00:00:00.000Z</x:v>
      </x:c>
    </x:row>
    <x:row r="69" ht="105" customHeight="1">
      <x:c r="A69" s="24" t="str">
        <x:v>T02</x:v>
      </x:c>
      <x:c r="B69" s="24" t="str">
        <x:v>Mastercard</x:v>
      </x:c>
      <x:c r="C69" s="24" t="str">
        <x:v>支付/金融科技</x:v>
      </x:c>
      <x:c r="D69" s="24" t="str">
        <x:v>Associate Consultant, Launch Graduate Program 2027</x:v>
      </x:c>
      <x:c r="E69" s="24" t="str">
        <x:v>数据咨询</x:v>
      </x:c>
      <x:c r="F69" s="24" t="str">
        <x:v>不投 用户决定</x:v>
      </x:c>
      <x:c r="G69" s="24" t="str">
        <x:v>官网列岗，详情待核</x:v>
      </x:c>
      <x:c r="H69" s="25" t="d">
        <x:v>2026-10-11T00:00:00.000Z</x:v>
      </x:c>
      <x:c r="I69" s="24" t="str">
        <x:v>CUHK就业中心日期；雇主页面未读出截止日</x:v>
      </x:c>
      <x:c r="J69" s="24" t="str">
        <x:v>核对毕业窗口、工作权及具体顾问方向</x:v>
      </x:c>
      <x:c r="K69" s="24" t="str">
        <x:v>2027</x:v>
      </x:c>
      <x:c r="L69" s="24" t="str">
        <x:v>停止投递及跟进提醒</x:v>
      </x:c>
      <x:c r="M69" s="26" t="str">
        <x:v>https://mastercard.wd1.myworkdayjobs.com/en-US/campus/job/Wanchai-Hong-Kong/Associate-Consultant--Launch-Graduate-Program-2027---Hong-Kong-SAR_R-287570</x:v>
      </x:c>
      <x:c r="N69" s="24" t="str">
        <x:v>R-287570</x:v>
      </x:c>
      <x:c r="O69" s="24" t="str">
        <x:v>2026-10-10 用户决定：用户判断偏统计分析，与AI/IT工程目标不匹配，明确不投。</x:v>
      </x:c>
      <x:c r="P69" s="24" t="str">
        <x:f>IF(OR(LEFT(F69,2)="不投",LEFT(F69,2)="已投",LEFT(L69,1)="F"),"",IF(H69="","",H69-'申请追踪'!$B$3))</x:f>
      </x:c>
      <x:c r="Q69" s="25" t="d">
        <x:v>2026-10-10T00:00:00.000Z</x:v>
      </x:c>
    </x:row>
    <x:row r="70" ht="105" customHeight="1">
      <x:c r="A70" s="24" t="str">
        <x:v>T03</x:v>
      </x:c>
      <x:c r="B70" s="24" t="str">
        <x:v>BlackRock</x:v>
      </x:c>
      <x:c r="C70" s="24" t="str">
        <x:v>资管/金融科技</x:v>
      </x:c>
      <x:c r="D70" s="24" t="str">
        <x:v>2027 Full-Time Analyst - Aladdin Data (Hong Kong)</x:v>
      </x:c>
      <x:c r="E70" s="24" t="str">
        <x:v>数据/平台</x:v>
      </x:c>
      <x:c r="F70" s="24" t="str">
        <x:v>不投 用户决定</x:v>
      </x:c>
      <x:c r="G70" s="24" t="str">
        <x:v>官网在招</x:v>
      </x:c>
      <x:c r="H70" s="25" t="d">
        <x:v>2026-10-25T00:00:00.000Z</x:v>
      </x:c>
      <x:c r="I70" s="24" t="str">
        <x:v>官方：23:55当地时间</x:v>
      </x:c>
      <x:c r="J70" s="24" t="str">
        <x:v>毕业日期2025.09-2027.08；一项目最多两职能</x:v>
      </x:c>
      <x:c r="K70" s="24" t="str">
        <x:v>2027</x:v>
      </x:c>
      <x:c r="L70" s="24" t="str">
        <x:v>停止投递及跟进提醒</x:v>
      </x:c>
      <x:c r="M70" s="26" t="str">
        <x:v>https://blackrock.tal.net/vx/lang-en-GB/mobile-0/brand-3/xf-5af8477883b5/candidate/so/pm/1/pl/1/opp/11983-2027-Full-Time-Analyst-Program-APAC/en-GB</x:v>
      </x:c>
      <x:c r="N70" s="24" t="str">
        <x:v>11983</x:v>
      </x:c>
      <x:c r="O70" s="24" t="str">
        <x:v>2026-10-10 用户决定：用户决定不投入BlackRock申请；属于个人投递取舍，不代表客观录用概率为零。</x:v>
      </x:c>
      <x:c r="P70" s="24" t="str">
        <x:f>IF(OR(LEFT(F70,2)="不投",LEFT(F70,2)="已投",LEFT(L70,1)="F"),"",IF(H70="","",H70-'申请追踪'!$B$3))</x:f>
      </x:c>
      <x:c r="Q70" s="25" t="d">
        <x:v>2026-10-09T00:00:00.000Z</x:v>
      </x:c>
    </x:row>
    <x:row r="71" ht="90" customHeight="1">
      <x:c r="A71" s="24" t="str">
        <x:v>T62</x:v>
      </x:c>
      <x:c r="B71" s="24" t="str">
        <x:v>Tiger Trade</x:v>
      </x:c>
      <x:c r="C71" s="24" t="str">
        <x:v>证券/金融科技</x:v>
      </x:c>
      <x:c r="D71" s="24" t="str">
        <x:v>AI FG 2027（用户简称）</x:v>
      </x:c>
      <x:c r="E71" s="24" t="str">
        <x:v>AI</x:v>
      </x:c>
      <x:c r="F71" s="24" t="str">
        <x:v>已投 跟进</x:v>
      </x:c>
      <x:c r="G71" s="24" t="str">
        <x:v>用户确认：刚投，暂无回应</x:v>
      </x:c>
      <x:c r="H71" s="25"/>
      <x:c r="I71" s="24" t="str">
        <x:v>未核实</x:v>
      </x:c>
      <x:c r="J71" s="24" t="str">
        <x:v>正式职位名称与资格待补</x:v>
      </x:c>
      <x:c r="K71" s="24" t="str">
        <x:v>2027（用户简称）</x:v>
      </x:c>
      <x:c r="L71" s="24" t="str">
        <x:v>保存申请确认邮件及编号；等待后续通知</x:v>
      </x:c>
      <x:c r="M71" s="26"/>
      <x:c r="N71" s="24"/>
      <x:c r="O71" s="24" t="str">
        <x:v>2026-10-11用户确认已投；本条不代表已通过筛选。</x:v>
      </x:c>
      <x:c r="P71" s="24" t="str">
        <x:f>IF(OR(LEFT(F71,2)="不投",LEFT(F71,2)="已投",LEFT(L71,1)="F"),"",IF(H71="","",H71-'申请追踪'!$B$3))</x:f>
      </x:c>
      <x:c r="Q71" s="25" t="d">
        <x:v>2026-10-11T00:00:00.000Z</x:v>
      </x:c>
    </x:row>
    <x:row r="72" ht="105" customHeight="1">
      <x:c r="A72" s="24" t="str">
        <x:v>T63</x:v>
      </x:c>
      <x:c r="B72" s="24" t="str">
        <x:v>ICO Group 扬科</x:v>
      </x:c>
      <x:c r="C72" s="24" t="str">
        <x:v>企业IT</x:v>
      </x:c>
      <x:c r="D72" s="24" t="str">
        <x:v>Application Services开发；AI Infrastructure Engineer线索</x:v>
      </x:c>
      <x:c r="E72" s="24" t="str">
        <x:v>AI/软件</x:v>
      </x:c>
      <x:c r="F72" s="24" t="str">
        <x:v>P1 先核实</x:v>
      </x:c>
      <x:c r="G72" s="24" t="str">
        <x:v>官网开发岗接纳应届生；AI岗为招聘平台线索</x:v>
      </x:c>
      <x:c r="H72" s="25"/>
      <x:c r="I72" s="24" t="str">
        <x:v>2026-10-11未核实明确截止；未知不等于滚动招聘</x:v>
      </x:c>
      <x:c r="J72" s="24" t="str">
        <x:v>开发岗涉及Java/Spring/SQL、粤语及英语；2027到岗待确认</x:v>
      </x:c>
      <x:c r="K72" s="24" t="str">
        <x:v>待逐岗确认</x:v>
      </x:c>
      <x:c r="L72" s="24" t="str">
        <x:v>先核实AI岗及到岗时间，再选开发岗位</x:v>
      </x:c>
      <x:c r="M72" s="26" t="str">
        <x:v>https://www.ico.com.hk/application-services/</x:v>
      </x:c>
      <x:c r="N72" s="24"/>
      <x:c r="O72" s="24" t="str">
        <x:v>https://hk.jobsdb.com/zh/ICO-Limited-jobs；官网trainee页面暂无空缺，不等于2027 trainee已开</x:v>
      </x:c>
      <x:c r="P72" s="24" t="str">
        <x:f>IF(H72="","",H72-'申请追踪'!$B$3)</x:f>
      </x:c>
      <x:c r="Q72" s="25" t="d">
        <x:v>2026-10-11T00:00:00.000Z</x:v>
      </x:c>
    </x:row>
    <x:row r="73" ht="105" customHeight="1">
      <x:c r="A73" s="24" t="str">
        <x:v>T64</x:v>
      </x:c>
      <x:c r="B73" s="24" t="str">
        <x:v>Biren 壁仞科技（香港目标）</x:v>
      </x:c>
      <x:c r="C73" s="24" t="str">
        <x:v>AI芯片</x:v>
      </x:c>
      <x:c r="D73" s="24" t="str">
        <x:v>软件/AI系统/算法校招</x:v>
      </x:c>
      <x:c r="E73" s="24" t="str">
        <x:v>AI/软件</x:v>
      </x:c>
      <x:c r="F73" s="24" t="str">
        <x:v>P2 观察</x:v>
      </x:c>
      <x:c r="G73" s="24" t="str">
        <x:v>官网有校招入口；未确认香港应届技术职位</x:v>
      </x:c>
      <x:c r="H73" s="25"/>
      <x:c r="I73" s="24" t="str">
        <x:v>2026-10-11未核实明确截止；未知不等于滚动招聘</x:v>
      </x:c>
      <x:c r="J73" s="24" t="str">
        <x:v>集团校招不等于香港招聘；地点及学历逐岗核实</x:v>
      </x:c>
      <x:c r="K73" s="24" t="str">
        <x:v>待逐岗确认</x:v>
      </x:c>
      <x:c r="L73" s="24" t="str">
        <x:v>筛选香港软件/算法岗</x:v>
      </x:c>
      <x:c r="M73" s="26" t="str">
        <x:v>https://www.birentech.com/join/</x:v>
      </x:c>
      <x:c r="N73" s="24"/>
      <x:c r="O73" s="24" t="str">
        <x:v>用户确认birenhk为壁仞科技香港</x:v>
      </x:c>
      <x:c r="P73" s="24" t="str">
        <x:f>IF(H73="","",H73-'申请追踪'!$B$3)</x:f>
      </x:c>
      <x:c r="Q73" s="25" t="d">
        <x:v>2026-10-11T00:00:00.000Z</x:v>
      </x:c>
    </x:row>
    <x:row r="74" ht="105" customHeight="1">
      <x:c r="A74" s="24" t="str">
        <x:v>T65</x:v>
      </x:c>
      <x:c r="B74" s="24" t="str">
        <x:v>Shokz 韶音（香港目标）</x:v>
      </x:c>
      <x:c r="C74" s="24" t="str">
        <x:v>智能硬件</x:v>
      </x:c>
      <x:c r="D74" s="24" t="str">
        <x:v>AI算法/研发校招</x:v>
      </x:c>
      <x:c r="E74" s="24" t="str">
        <x:v>AI/软件</x:v>
      </x:c>
      <x:c r="F74" s="24" t="str">
        <x:v>P2 观察</x:v>
      </x:c>
      <x:c r="G74" s="24" t="str">
        <x:v>官方亚洲招聘页所见岗位为新加坡；香港线索待核</x:v>
      </x:c>
      <x:c r="H74" s="25"/>
      <x:c r="I74" s="24" t="str">
        <x:v>2026-10-11未核实明确截止；未知不等于滚动招聘</x:v>
      </x:c>
      <x:c r="J74" s="24" t="str">
        <x:v>香港岗位、应届资格及2027到岗尚未确认</x:v>
      </x:c>
      <x:c r="K74" s="24" t="str">
        <x:v>待逐岗确认</x:v>
      </x:c>
      <x:c r="L74" s="24" t="str">
        <x:v>只筛香港研发岗；不要混入新加坡职位</x:v>
      </x:c>
      <x:c r="M74" s="26" t="str">
        <x:v>https://asia.shokz.com/pages/jobs</x:v>
      </x:c>
      <x:c r="N74" s="24"/>
      <x:c r="O74" s="24" t="str">
        <x:v>https://careerservices.fas.harvard.edu/companies/shokz-global-limited/jobs/；学校页面2027-04-09是平台到期日，不作雇主截止</x:v>
      </x:c>
      <x:c r="P74" s="24" t="str">
        <x:f>IF(H74="","",H74-'申请追踪'!$B$3)</x:f>
      </x:c>
      <x:c r="Q74" s="25" t="d">
        <x:v>2026-10-11T00:00:00.000Z</x:v>
      </x:c>
    </x:row>
    <x:row r="75" ht="105" customHeight="1">
      <x:c r="A75" s="24" t="str">
        <x:v>T66</x:v>
      </x:c>
      <x:c r="B75" s="24" t="str">
        <x:v>MiniMax 稀宇（香港目标）</x:v>
      </x:c>
      <x:c r="C75" s="24" t="str">
        <x:v>大模型</x:v>
      </x:c>
      <x:c r="D75" s="24" t="str">
        <x:v>2027校园招聘：AI/软件</x:v>
      </x:c>
      <x:c r="E75" s="24" t="str">
        <x:v>AI/软件</x:v>
      </x:c>
      <x:c r="F75" s="24" t="str">
        <x:v>P2 先核实</x:v>
      </x:c>
      <x:c r="G75" s="24" t="str">
        <x:v>官网明确2027校招；香港技术岗位未确认</x:v>
      </x:c>
      <x:c r="H75" s="25"/>
      <x:c r="I75" s="24" t="str">
        <x:v>2026-10-11未核实明确截止；未知不等于滚动招聘</x:v>
      </x:c>
      <x:c r="J75" s="24" t="str">
        <x:v>需逐岗确认香港地点；全年顶尖人才招聘不是校招截止</x:v>
      </x:c>
      <x:c r="K75" s="24" t="str">
        <x:v>待逐岗确认</x:v>
      </x:c>
      <x:c r="L75" s="24" t="str">
        <x:v>进入校招筛选香港及2027资格</x:v>
      </x:c>
      <x:c r="M75" s="26" t="str">
        <x:v>https://minimax.cn/careers</x:v>
      </x:c>
      <x:c r="N75" s="24"/>
      <x:c r="O75" s="24" t="str">
        <x:v>用户确认xiyu minimax为稀宇/MiniMax</x:v>
      </x:c>
      <x:c r="P75" s="24" t="str">
        <x:f>IF(H75="","",H75-'申请追踪'!$B$3)</x:f>
      </x:c>
      <x:c r="Q75" s="25" t="d">
        <x:v>2026-10-11T00:00:00.000Z</x:v>
      </x:c>
    </x:row>
    <x:row r="76" ht="105" customHeight="1">
      <x:c r="A76" s="24" t="str">
        <x:v>T67</x:v>
      </x:c>
      <x:c r="B76" s="24" t="str">
        <x:v>China Telecom Global 中国电信国际</x:v>
      </x:c>
      <x:c r="C76" s="24" t="str">
        <x:v>电信</x:v>
      </x:c>
      <x:c r="D76" s="24" t="str">
        <x:v>香港优培生/技术校招线索</x:v>
      </x:c>
      <x:c r="E76" s="24" t="str">
        <x:v>IT/数据/相关方向</x:v>
      </x:c>
      <x:c r="F76" s="24" t="str">
        <x:v>P2 先核实</x:v>
      </x:c>
      <x:c r="G76" s="24" t="str">
        <x:v>集团2027校招入口可查；香港具体优培生JD待核</x:v>
      </x:c>
      <x:c r="H76" s="25"/>
      <x:c r="I76" s="24" t="str">
        <x:v>2026-10-11未核实明确截止；未知不等于滚动招聘</x:v>
      </x:c>
      <x:c r="J76" s="24" t="str">
        <x:v>第三方优培生线索不能单独证明香港2027职位开放</x:v>
      </x:c>
      <x:c r="K76" s="24" t="str">
        <x:v>待逐岗确认</x:v>
      </x:c>
      <x:c r="L76" s="24" t="str">
        <x:v>集团入口筛中国电信国际/香港</x:v>
      </x:c>
      <x:c r="M76" s="26" t="str">
        <x:v>https://job.chinatelecom.com.cn/wt/TELE/web/index?_refluxos=a10</x:v>
      </x:c>
      <x:c r="N76" s="24"/>
      <x:c r="O76" s="24" t="str">
        <x:v>旧2025 Fresh Talent不能当本届；香港岗位及截止待确认</x:v>
      </x:c>
      <x:c r="P76" s="24" t="str">
        <x:f>IF(H76="","",H76-'申请追踪'!$B$3)</x:f>
      </x:c>
      <x:c r="Q76" s="25" t="d">
        <x:v>2026-10-11T00:00:00.000Z</x:v>
      </x:c>
    </x:row>
    <x:row r="77" ht="105" customHeight="1">
      <x:c r="A77" s="24" t="str">
        <x:v>T68</x:v>
      </x:c>
      <x:c r="B77" s="24" t="str">
        <x:v>China Mobile Hong Kong 中国移动香港</x:v>
      </x:c>
      <x:c r="C77" s="24" t="str">
        <x:v>电信</x:v>
      </x:c>
      <x:c r="D77" s="24" t="str">
        <x:v>2027校招：AI/云/技术开发/技术之星</x:v>
      </x:c>
      <x:c r="E77" s="24" t="str">
        <x:v>AI/软件</x:v>
      </x:c>
      <x:c r="F77" s="24" t="str">
        <x:v>P1 先核实</x:v>
      </x:c>
      <x:c r="G77" s="24" t="str">
        <x:v>高校发布雇主2027校招；官方招聘入口可用</x:v>
      </x:c>
      <x:c r="H77" s="25"/>
      <x:c r="I77" s="24" t="str">
        <x:v>2026-10-11未核实明确截止；未知不等于滚动招聘</x:v>
      </x:c>
      <x:c r="J77" s="24" t="str">
        <x:v>香港具体岗位学历、语言及到岗要求逐岗核实</x:v>
      </x:c>
      <x:c r="K77" s="24" t="str">
        <x:v>待逐岗确认</x:v>
      </x:c>
      <x:c r="L77" s="24" t="str">
        <x:v>优先查看AI/技术开发，保存具体岗位编号</x:v>
      </x:c>
      <x:c r="M77" s="26" t="str">
        <x:v>https://job.10086.cn/personal/campus/campus_job_list.html?cId=107</x:v>
      </x:c>
      <x:c r="N77" s="24"/>
      <x:c r="O77" s="24" t="str">
        <x:v>https://job.hust.edu.cn/zpinfo1/2421218.htm；9月到翌年1月是招聘流程，不当截止日</x:v>
      </x:c>
      <x:c r="P77" s="24" t="str">
        <x:f>IF(H77="","",H77-'申请追踪'!$B$3)</x:f>
      </x:c>
      <x:c r="Q77" s="25" t="d">
        <x:v>2026-10-11T00:00:00.000Z</x:v>
      </x:c>
    </x:row>
    <x:row r="78" ht="105" customHeight="1">
      <x:c r="A78" s="24" t="str">
        <x:v>T69</x:v>
      </x:c>
      <x:c r="B78" s="24" t="str">
        <x:v>SenseTime 商汤（香港目标）</x:v>
      </x:c>
      <x:c r="C78" s="24" t="str">
        <x:v>AI</x:v>
      </x:c>
      <x:c r="D78" s="24" t="str">
        <x:v>香港AI/软件校园招聘</x:v>
      </x:c>
      <x:c r="E78" s="24" t="str">
        <x:v>AI/软件</x:v>
      </x:c>
      <x:c r="F78" s="24" t="str">
        <x:v>P2 观察</x:v>
      </x:c>
      <x:c r="G78" s="24" t="str">
        <x:v>官网有校招入口；未核到匹配的香港FG技术JD</x:v>
      </x:c>
      <x:c r="H78" s="25"/>
      <x:c r="I78" s="24" t="str">
        <x:v>2026-10-11未核实明确截止；未知不等于滚动招聘</x:v>
      </x:c>
      <x:c r="J78" s="24" t="str">
        <x:v>香港销售经理或内地技术岗不等于香港应届技术岗</x:v>
      </x:c>
      <x:c r="K78" s="24" t="str">
        <x:v>待逐岗确认</x:v>
      </x:c>
      <x:c r="L78" s="24" t="str">
        <x:v>按香港地点和校招类别筛选</x:v>
      </x:c>
      <x:c r="M78" s="26" t="str">
        <x:v>https://www.sensetime.com/hk/join-us</x:v>
      </x:c>
      <x:c r="N78" s="24"/>
      <x:c r="O78" s="24" t="str">
        <x:v>https://hr-jobs.sensetime.com/</x:v>
      </x:c>
      <x:c r="P78" s="24" t="str">
        <x:f>IF(H78="","",H78-'申请追踪'!$B$3)</x:f>
      </x:c>
      <x:c r="Q78" s="25" t="d">
        <x:v>2026-10-11T00:00:00.000Z</x:v>
      </x:c>
    </x:row>
    <x:row r="79" ht="105" customHeight="1">
      <x:c r="A79" s="24" t="str">
        <x:v>T70</x:v>
      </x:c>
      <x:c r="B79" s="24" t="str">
        <x:v>HashKey Group</x:v>
      </x:c>
      <x:c r="C79" s="24" t="str">
        <x:v>数字资产</x:v>
      </x:c>
      <x:c r="D79" s="24" t="str">
        <x:v>MT/软件/数据/产品</x:v>
      </x:c>
      <x:c r="E79" s="24" t="str">
        <x:v>IT/数据/相关方向</x:v>
      </x:c>
      <x:c r="F79" s="24" t="str">
        <x:v>P2 先核实</x:v>
      </x:c>
      <x:c r="G79" s="24" t="str">
        <x:v>官网有MT、实习、专业职位入口</x:v>
      </x:c>
      <x:c r="H79" s="25"/>
      <x:c r="I79" s="24" t="str">
        <x:v>2026-10-11未核实明确截止；未知不等于滚动招聘</x:v>
      </x:c>
      <x:c r="J79" s="24" t="str">
        <x:v>2027香港技术类MT开放及资格未确认</x:v>
      </x:c>
      <x:c r="K79" s="24" t="str">
        <x:v>待逐岗确认</x:v>
      </x:c>
      <x:c r="L79" s="24" t="str">
        <x:v>核对MT届别、技术方向及入职日</x:v>
      </x:c>
      <x:c r="M79" s="26" t="str">
        <x:v>https://group.hashkey.com/en/careers/</x:v>
      </x:c>
      <x:c r="N79" s="24"/>
      <x:c r="O79" s="24" t="str">
        <x:v>https://group.hashkey.com/en/category/roles/</x:v>
      </x:c>
      <x:c r="P79" s="24" t="str">
        <x:f>IF(H79="","",H79-'申请追踪'!$B$3)</x:f>
      </x:c>
      <x:c r="Q79" s="25" t="d">
        <x:v>2026-10-11T00:00:00.000Z</x:v>
      </x:c>
    </x:row>
    <x:row r="80" ht="105" customHeight="1">
      <x:c r="A80" s="24" t="str">
        <x:v>T71</x:v>
      </x:c>
      <x:c r="B80" s="24" t="str">
        <x:v>RD Technologies / RD Tech</x:v>
      </x:c>
      <x:c r="C80" s="24" t="str">
        <x:v>金融科技</x:v>
      </x:c>
      <x:c r="D80" s="24" t="str">
        <x:v>2027 MT（观察）/技术</x:v>
      </x:c>
      <x:c r="E80" s="24" t="str">
        <x:v>IT/数据/相关方向</x:v>
      </x:c>
      <x:c r="F80" s="24" t="str">
        <x:v>P2 等新批次</x:v>
      </x:c>
      <x:c r="G80" s="24" t="str">
        <x:v>查到的2026 Web3 MT已关闭；2027未确认</x:v>
      </x:c>
      <x:c r="H80" s="25"/>
      <x:c r="I80" s="24" t="str">
        <x:v>2026-10-11未核实明确截止；未知不等于滚动招聘</x:v>
      </x:c>
      <x:c r="J80" s="24" t="str">
        <x:v>不得把2026批次当2027开放岗位</x:v>
      </x:c>
      <x:c r="K80" s="24" t="str">
        <x:v>待逐岗确认</x:v>
      </x:c>
      <x:c r="L80" s="24" t="str">
        <x:v>等待新批次或筛junior技术职位</x:v>
      </x:c>
      <x:c r="M80" s="26" t="str">
        <x:v>https://www.rd.group/news/blogs/Management_Trainees_2025_2026/</x:v>
      </x:c>
      <x:c r="N80" s="24"/>
      <x:c r="O80" s="24" t="str">
        <x:v>https://hk.linkedin.com/jobs/view/management-trainee-web-3-at-rd-technologies-4406712046</x:v>
      </x:c>
      <x:c r="P80" s="24" t="str">
        <x:f>IF(H80="","",H80-'申请追踪'!$B$3)</x:f>
      </x:c>
      <x:c r="Q80" s="25" t="d">
        <x:v>2026-10-11T00:00:00.000Z</x:v>
      </x:c>
    </x:row>
    <x:row r="81" ht="105" customHeight="1">
      <x:c r="A81" s="24" t="str">
        <x:v>T72</x:v>
      </x:c>
      <x:c r="B81" s="24" t="str">
        <x:v>Bybit</x:v>
      </x:c>
      <x:c r="C81" s="24" t="str">
        <x:v>数字资产</x:v>
      </x:c>
      <x:c r="D81" s="24" t="str">
        <x:v>香港AI Intern；2027全职待查</x:v>
      </x:c>
      <x:c r="E81" s="24" t="str">
        <x:v>AI/软件</x:v>
      </x:c>
      <x:c r="F81" s="24" t="str">
        <x:v>P2 实习备选</x:v>
      </x:c>
      <x:c r="G81" s="24" t="str">
        <x:v>官方列表有香港AI/大数据实习；未确认2027FG全职</x:v>
      </x:c>
      <x:c r="H81" s="25"/>
      <x:c r="I81" s="24" t="str">
        <x:v>2026-10-11未核实明确截止；未知不等于滚动招聘</x:v>
      </x:c>
      <x:c r="J81" s="24" t="str">
        <x:v>实习性质；需核实在读要求、工时、时长及地点</x:v>
      </x:c>
      <x:c r="K81" s="24" t="str">
        <x:v>待逐岗确认</x:v>
      </x:c>
      <x:c r="L81" s="24" t="str">
        <x:v>仅在接受实习时考虑；继续观察全职</x:v>
      </x:c>
      <x:c r="M81" s="26" t="str">
        <x:v>https://job-boards.eu.greenhouse.io/bybit/jobs/4974271101</x:v>
      </x:c>
      <x:c r="N81" s="24"/>
      <x:c r="O81" s="24" t="str">
        <x:v>https://job-boards.greenhouse.io/bybit</x:v>
      </x:c>
      <x:c r="P81" s="24" t="str">
        <x:f>IF(H81="","",H81-'申请追踪'!$B$3)</x:f>
      </x:c>
      <x:c r="Q81" s="25" t="d">
        <x:v>2026-10-11T00:00:00.000Z</x:v>
      </x:c>
    </x:row>
    <x:row r="82" ht="105" customHeight="1">
      <x:c r="A82" s="24" t="str">
        <x:v>T73</x:v>
      </x:c>
      <x:c r="B82" s="24" t="str">
        <x:v>OKX</x:v>
      </x:c>
      <x:c r="C82" s="24" t="str">
        <x:v>数字资产</x:v>
      </x:c>
      <x:c r="D82" s="24" t="str">
        <x:v>香港AI Agent安全/软件/产品</x:v>
      </x:c>
      <x:c r="E82" s="24" t="str">
        <x:v>AI/软件</x:v>
      </x:c>
      <x:c r="F82" s="24" t="str">
        <x:v>P2 先核实</x:v>
      </x:c>
      <x:c r="G82" s="24" t="str">
        <x:v>官网招聘板有香港AI/技术职位；FG资格未确认</x:v>
      </x:c>
      <x:c r="H82" s="25"/>
      <x:c r="I82" s="24" t="str">
        <x:v>2026-10-11未核实明确截止；未知不等于滚动招聘</x:v>
      </x:c>
      <x:c r="J82" s="24" t="str">
        <x:v>部分为资深岗位；不可仅凭AI标题判断适合应届</x:v>
      </x:c>
      <x:c r="K82" s="24" t="str">
        <x:v>待逐岗确认</x:v>
      </x:c>
      <x:c r="L82" s="24" t="str">
        <x:v>逐岗排除工作年限要求，筛junior</x:v>
      </x:c>
      <x:c r="M82" s="26" t="str">
        <x:v>https://job-boards.greenhouse.io/okx</x:v>
      </x:c>
      <x:c r="N82" s="24"/>
      <x:c r="O82" s="24" t="str">
        <x:v>目标包括AI Agent Security Research Engineer；具体学历和年限待复核</x:v>
      </x:c>
      <x:c r="P82" s="24" t="str">
        <x:f>IF(H82="","",H82-'申请追踪'!$B$3)</x:f>
      </x:c>
      <x:c r="Q82" s="25" t="d">
        <x:v>2026-10-11T00:00:00.000Z</x:v>
      </x:c>
    </x:row>
    <x:row r="83" ht="105" customHeight="1">
      <x:c r="A83" s="24" t="str">
        <x:v>T74</x:v>
      </x:c>
      <x:c r="B83" s="24" t="str">
        <x:v>Bitget</x:v>
      </x:c>
      <x:c r="C83" s="24" t="str">
        <x:v>数字资产</x:v>
      </x:c>
      <x:c r="D83" s="24" t="str">
        <x:v>毕业生项目/软件/AI</x:v>
      </x:c>
      <x:c r="E83" s="24" t="str">
        <x:v>AI/软件</x:v>
      </x:c>
      <x:c r="F83" s="24" t="str">
        <x:v>P2 等新批次</x:v>
      </x:c>
      <x:c r="G83" s="24" t="str">
        <x:v>官网有学生毕业生入口；已见项目为2026</x:v>
      </x:c>
      <x:c r="H83" s="25"/>
      <x:c r="I83" s="24" t="str">
        <x:v>2026-10-11未核实明确截止；未知不等于滚动招聘</x:v>
      </x:c>
      <x:c r="J83" s="24" t="str">
        <x:v>2027批次及香港雇佣地点均未确认</x:v>
      </x:c>
      <x:c r="K83" s="24" t="str">
        <x:v>待逐岗确认</x:v>
      </x:c>
      <x:c r="L83" s="24" t="str">
        <x:v>关注下一届项目并核实地点</x:v>
      </x:c>
      <x:c r="M83" s="26" t="str">
        <x:v>https://www.bitget.com/promotion/hire</x:v>
      </x:c>
      <x:c r="N83" s="24"/>
      <x:c r="O83" s="24" t="str">
        <x:v>https://www.bitget.com/asia/blog/articles/bitget-2026-graduate-program-blockchain4youth</x:v>
      </x:c>
      <x:c r="P83" s="24" t="str">
        <x:f>IF(H83="","",H83-'申请追踪'!$B$3)</x:f>
      </x:c>
      <x:c r="Q83" s="25" t="d">
        <x:v>2026-10-11T00:00:00.000Z</x:v>
      </x:c>
    </x:row>
    <x:row r="84" ht="105" customHeight="1">
      <x:c r="A84" s="24" t="str">
        <x:v>T75</x:v>
      </x:c>
      <x:c r="B84" s="24" t="str">
        <x:v>Binance</x:v>
      </x:c>
      <x:c r="C84" s="24" t="str">
        <x:v>数字资产</x:v>
      </x:c>
      <x:c r="D84" s="24" t="str">
        <x:v>Junior Software Engineer (AI&amp;LLM)</x:v>
      </x:c>
      <x:c r="E84" s="24" t="str">
        <x:v>AI/软件</x:v>
      </x:c>
      <x:c r="F84" s="24" t="str">
        <x:v>P1 可准备</x:v>
      </x:c>
      <x:c r="G84" s="24" t="str">
        <x:v>官方在招；地点包含香港/亚洲，Remote</x:v>
      </x:c>
      <x:c r="H84" s="25"/>
      <x:c r="I84" s="24" t="str">
        <x:v>2026-10-11未核实明确截止；未知不等于滚动招聘</x:v>
      </x:c>
      <x:c r="J84" s="24" t="str">
        <x:v>要求前后端及真实LLM/RAG/Agent项目经验；2027到岗及雇佣主体待确认</x:v>
      </x:c>
      <x:c r="K84" s="24" t="str">
        <x:v>待逐岗确认</x:v>
      </x:c>
      <x:c r="L84" s="24" t="str">
        <x:v>准备AI全栈简历；先确认可接受2027到岗</x:v>
      </x:c>
      <x:c r="M84" s="26" t="str">
        <x:v>https://jobs.lever.co/binance/88fe7933-859b-47e7-a1a0-29c5e14de573</x:v>
      </x:c>
      <x:c r="N84" s="24"/>
      <x:c r="O84" s="24" t="str">
        <x:v>未列最低工作年限，不等于2027校招；另有AI Agent Accelerator，勿混同全职毕业生项目</x:v>
      </x:c>
      <x:c r="P84" s="24" t="str">
        <x:f>IF(H84="","",H84-'申请追踪'!$B$3)</x:f>
      </x:c>
      <x:c r="Q84" s="25" t="d">
        <x:v>2026-10-11T00:00:00.000Z</x:v>
      </x:c>
    </x:row>
    <x:row r="85" ht="105" customHeight="1">
      <x:c r="A85" s="24" t="str">
        <x:v>T76</x:v>
      </x:c>
      <x:c r="B85" s="24" t="str">
        <x:v>长江集团 / CK Hutchison（暂按长江中心理解）</x:v>
      </x:c>
      <x:c r="C85" s="24" t="str">
        <x:v>综合集团</x:v>
      </x:c>
      <x:c r="D85" s="24" t="str">
        <x:v>企业IT/数据/毕业生岗位</x:v>
      </x:c>
      <x:c r="E85" s="24" t="str">
        <x:v>IT/数据/相关方向</x:v>
      </x:c>
      <x:c r="F85" s="24" t="str">
        <x:v>P2 名称及岗位待核</x:v>
      </x:c>
      <x:c r="G85" s="24" t="str">
        <x:v>纳入长江集团雇主池；不是大楼本身招人</x:v>
      </x:c>
      <x:c r="H85" s="25"/>
      <x:c r="I85" s="24" t="str">
        <x:v>2026-10-11未核实明确截止；未知不等于滚动招聘</x:v>
      </x:c>
      <x:c r="J85" s="24" t="str">
        <x:v>用户“是的”未明确二选一；若指楼内金融公司需再细分</x:v>
      </x:c>
      <x:c r="K85" s="24" t="str">
        <x:v>待逐岗确认</x:v>
      </x:c>
      <x:c r="L85" s="24" t="str">
        <x:v>官网筛香港IT；保留名称解释待补</x:v>
      </x:c>
      <x:c r="M85" s="26" t="str">
        <x:v>https://www.ckh.com.hk/en/about/ckh_careers.php?print=Y</x:v>
      </x:c>
      <x:c r="N85" s="24"/>
      <x:c r="O85" s="24" t="str">
        <x:v>长江中心作为地点不能视作独立雇主；未确认2027具体岗位</x:v>
      </x:c>
      <x:c r="P85" s="24" t="str">
        <x:f>IF(H85="","",H85-'申请追踪'!$B$3)</x:f>
      </x:c>
      <x:c r="Q85" s="25" t="d">
        <x:v>2026-10-11T00:00:00.000Z</x:v>
      </x:c>
    </x:row>
    <x:row r="86" ht="105" customHeight="1">
      <x:c r="A86" s="24" t="str">
        <x:v>T77</x:v>
      </x:c>
      <x:c r="B86" s="24" t="str">
        <x:v>Mech-Mind 梅卡曼德（香港目标）</x:v>
      </x:c>
      <x:c r="C86" s="24" t="str">
        <x:v>机器人/机器视觉</x:v>
      </x:c>
      <x:c r="D86" s="24" t="str">
        <x:v>3D视觉/机器人/软件校招</x:v>
      </x:c>
      <x:c r="E86" s="24" t="str">
        <x:v>AI/软件</x:v>
      </x:c>
      <x:c r="F86" s="24" t="str">
        <x:v>P2 地点待核</x:v>
      </x:c>
      <x:c r="G86" s="24" t="str">
        <x:v>官网可核公司及研发方向；香港岗位未确认</x:v>
      </x:c>
      <x:c r="H86" s="25"/>
      <x:c r="I86" s="24" t="str">
        <x:v>2026-10-11未核实明确截止；未知不等于滚动招聘</x:v>
      </x:c>
      <x:c r="J86" s="24" t="str">
        <x:v>已有办公地点资料不足以证明香港技术校招</x:v>
      </x:c>
      <x:c r="K86" s="24" t="str">
        <x:v>待逐岗确认</x:v>
      </x:c>
      <x:c r="L86" s="24" t="str">
        <x:v>优先核实是否有香港雇佣岗位</x:v>
      </x:c>
      <x:c r="M86" s="26" t="str">
        <x:v>https://mech-mind.com.cn/about/about-us.html</x:v>
      </x:c>
      <x:c r="N86" s="24"/>
      <x:c r="O86" s="24" t="str">
        <x:v>用户确认meikamande为梅卡曼德；不复用旧年度校招信息</x:v>
      </x:c>
      <x:c r="P86" s="24" t="str">
        <x:f>IF(H86="","",H86-'申请追踪'!$B$3)</x:f>
      </x:c>
      <x:c r="Q86" s="25" t="d">
        <x:v>2026-10-11T00:00:00.000Z</x:v>
      </x:c>
    </x:row>
    <x:row r="87" ht="105" customHeight="1">
      <x:c r="A87" s="24" t="str">
        <x:v>T78</x:v>
      </x:c>
      <x:c r="B87" s="24" t="str">
        <x:v>Eclipse Trading</x:v>
      </x:c>
      <x:c r="C87" s="24" t="str">
        <x:v>量化交易</x:v>
      </x:c>
      <x:c r="D87" s="24" t="str">
        <x:v>Graduate Python Software Developer | 2027 Intake</x:v>
      </x:c>
      <x:c r="E87" s="24" t="str">
        <x:v>IT/数据/相关方向</x:v>
      </x:c>
      <x:c r="F87" s="24" t="str">
        <x:v>P1 优先准备</x:v>
      </x:c>
      <x:c r="G87" s="24" t="str">
        <x:v>官方明确香港2027毕业生岗且有申请表</x:v>
      </x:c>
      <x:c r="H87" s="25"/>
      <x:c r="I87" s="24" t="str">
        <x:v>2026-10-11未核实明确截止；未知不等于滚动招聘</x:v>
      </x:c>
      <x:c r="J87" s="24" t="str">
        <x:v>相关专业应届/近届；扎实Python项目；需表达金融市场兴趣</x:v>
      </x:c>
      <x:c r="K87" s="24" t="str">
        <x:v>2027</x:v>
      </x:c>
      <x:c r="L87" s="24" t="str">
        <x:v>按Python开发简历准备，附成绩单并真实填写签证信息</x:v>
      </x:c>
      <x:c r="M87" s="26" t="str">
        <x:v>https://job-boards.greenhouse.io/eclipsetrading/jobs/8729457002</x:v>
      </x:c>
      <x:c r="N87" s="24"/>
      <x:c r="O87" s="24" t="str">
        <x:v>无须已有金融经验；官方未列截止日；八周培训</x:v>
      </x:c>
      <x:c r="P87" s="24" t="str">
        <x:f>IF(H87="","",H87-'申请追踪'!$B$3)</x:f>
      </x:c>
      <x:c r="Q87" s="25" t="d">
        <x:v>2026-10-11T00:00:00.000Z</x:v>
      </x:c>
    </x:row>
    <x:row r="88" ht="105" customHeight="1">
      <x:c r="A88" s="24" t="str">
        <x:v>T79</x:v>
      </x:c>
      <x:c r="B88" s="24" t="str">
        <x:v>Futu 富途</x:v>
      </x:c>
      <x:c r="C88" s="24" t="str">
        <x:v>证券/金融科技</x:v>
      </x:c>
      <x:c r="D88" s="24" t="str">
        <x:v>2027 Graduate Management Trainee；技术岗观察</x:v>
      </x:c>
      <x:c r="E88" s="24" t="str">
        <x:v>IT/数据/相关方向</x:v>
      </x:c>
      <x:c r="F88" s="24" t="str">
        <x:v>P2 资格冲突</x:v>
      </x:c>
      <x:c r="G88" s="24" t="str">
        <x:v>雇主标题2027；正文却写Class of 2026及Jul–Dec 2026</x:v>
      </x:c>
      <x:c r="H88" s="25"/>
      <x:c r="I88" s="24" t="str">
        <x:v>2026-10-11未核实明确截止；未知不等于滚动招聘</x:v>
      </x:c>
      <x:c r="J88" s="24" t="str">
        <x:v>偏业务运营轮岗；需粤英普；毕业届别矛盾待雇主澄清</x:v>
      </x:c>
      <x:c r="K88" s="24" t="str">
        <x:v>待逐岗确认</x:v>
      </x:c>
      <x:c r="L88" s="24" t="str">
        <x:v>先确认2027毕业生资格，另查软件/数据岗位</x:v>
      </x:c>
      <x:c r="M88" s="26" t="str">
        <x:v>https://career.futuhk.com/</x:v>
      </x:c>
      <x:c r="N88" s="24"/>
      <x:c r="O88" s="24" t="str">
        <x:v>https://hk.linkedin.com/jobs/view/2027-graduate-management-trainee-program-at-futu-holdings-limited-4468709492；不能直接认定适配2027</x:v>
      </x:c>
      <x:c r="P88" s="24" t="str">
        <x:f>IF(H88="","",H88-'申请追踪'!$B$3)</x:f>
      </x:c>
      <x:c r="Q88" s="25" t="d">
        <x:v>2026-10-11T00:00:00.000Z</x:v>
      </x:c>
    </x:row>
    <x:row r="89" ht="105" customHeight="1">
      <x:c r="A89" s="24" t="str">
        <x:v>T80</x:v>
      </x:c>
      <x:c r="B89" s="24" t="str">
        <x:v>Crypto.com</x:v>
      </x:c>
      <x:c r="C89" s="24" t="str">
        <x:v>数字资产</x:v>
      </x:c>
      <x:c r="D89" s="24" t="str">
        <x:v>香港AI/软件/数据</x:v>
      </x:c>
      <x:c r="E89" s="24" t="str">
        <x:v>AI/软件</x:v>
      </x:c>
      <x:c r="F89" s="24" t="str">
        <x:v>P2 先核实</x:v>
      </x:c>
      <x:c r="G89" s="24" t="str">
        <x:v>官方职位列表有香港AI Engineer线索</x:v>
      </x:c>
      <x:c r="H89" s="25"/>
      <x:c r="I89" s="24" t="str">
        <x:v>2026-10-11未核实明确截止；未知不等于滚动招聘</x:v>
      </x:c>
      <x:c r="J89" s="24" t="str">
        <x:v>经验门槛及2027到岗未核实；非已确认FG项目</x:v>
      </x:c>
      <x:c r="K89" s="24" t="str">
        <x:v>待逐岗确认</x:v>
      </x:c>
      <x:c r="L89" s="24" t="str">
        <x:v>筛香港工程职位并逐岗核对年限</x:v>
      </x:c>
      <x:c r="M89" s="26" t="str">
        <x:v>https://crypto.com/en/careers/</x:v>
      </x:c>
      <x:c r="N89" s="24"/>
      <x:c r="O89" s="24" t="str">
        <x:v>公司池；不能等同当前可投应届岗位</x:v>
      </x:c>
      <x:c r="P89" s="24" t="str">
        <x:f>IF(H89="","",H89-'申请追踪'!$B$3)</x:f>
      </x:c>
      <x:c r="Q89" s="25" t="d">
        <x:v>2026-10-11T00:00:00.000Z</x:v>
      </x:c>
    </x:row>
    <x:row r="90" ht="105" customHeight="1">
      <x:c r="A90" s="24" t="str">
        <x:v>T81</x:v>
      </x:c>
      <x:c r="B90" s="24" t="str">
        <x:v>OSL Group</x:v>
      </x:c>
      <x:c r="C90" s="24" t="str">
        <x:v>数字资产</x:v>
      </x:c>
      <x:c r="D90" s="24" t="str">
        <x:v>香港技术/数据毕业生机会</x:v>
      </x:c>
      <x:c r="E90" s="24" t="str">
        <x:v>IT/数据/相关方向</x:v>
      </x:c>
      <x:c r="F90" s="24" t="str">
        <x:v>P2 观察</x:v>
      </x:c>
      <x:c r="G90" s="24" t="str">
        <x:v>官网公司可核；当前2027技术毕业生职位未确认</x:v>
      </x:c>
      <x:c r="H90" s="25"/>
      <x:c r="I90" s="24" t="str">
        <x:v>2026-10-11未核实明确截止；未知不等于滚动招聘</x:v>
      </x:c>
      <x:c r="J90" s="24" t="str">
        <x:v>旧Technology Graduate Engineer信息不代表当前开放</x:v>
      </x:c>
      <x:c r="K90" s="24" t="str">
        <x:v>待逐岗确认</x:v>
      </x:c>
      <x:c r="L90" s="24" t="str">
        <x:v>在集团官网查最新技术岗位</x:v>
      </x:c>
      <x:c r="M90" s="26" t="str">
        <x:v>https://group.osl.com/</x:v>
      </x:c>
      <x:c r="N90" s="24"/>
      <x:c r="O90" s="24" t="str">
        <x:v>排除同名办公用品及海外工程公司；旧招聘不复用</x:v>
      </x:c>
      <x:c r="P90" s="24" t="str">
        <x:f>IF(H90="","",H90-'申请追踪'!$B$3)</x:f>
      </x:c>
      <x:c r="Q90" s="25" t="d">
        <x:v>2026-10-11T00:00:00.000Z</x:v>
      </x:c>
    </x:row>
    <x:row r="91" ht="105" customHeight="1">
      <x:c r="A91" s="24" t="str">
        <x:v>T82</x:v>
      </x:c>
      <x:c r="B91" s="24" t="str">
        <x:v>ZA Group / ZA Bank 众安</x:v>
      </x:c>
      <x:c r="C91" s="24" t="str">
        <x:v>数字银行</x:v>
      </x:c>
      <x:c r="D91" s="24" t="str">
        <x:v>香港软件/数据/AI</x:v>
      </x:c>
      <x:c r="E91" s="24" t="str">
        <x:v>AI/软件</x:v>
      </x:c>
      <x:c r="F91" s="24" t="str">
        <x:v>P2 观察</x:v>
      </x:c>
      <x:c r="G91" s="24" t="str">
        <x:v>官方招聘入口可核；本轮未找到可确认的香港FG AI/Agent职位。</x:v>
      </x:c>
      <x:c r="H91" s="25"/>
      <x:c r="I91" s="24" t="str">
        <x:v>2026-10-13未核到明确截止；2022银行业人才计划已过期。</x:v>
      </x:c>
      <x:c r="J91" s="24" t="str">
        <x:v>须分清香港与深圳；官方所见研发/数据岗包含深圳资深岗位，不能套用香港应届资格。</x:v>
      </x:c>
      <x:c r="K91" s="24" t="str">
        <x:v>待逐岗确认</x:v>
      </x:c>
      <x:c r="L91" s="24" t="str">
        <x:v>保留ZA Bank原条目，关注香港junior/graduate新JD。</x:v>
      </x:c>
      <x:c r="M91" s="26" t="str">
        <x:v>https://www.za.group/join-us</x:v>
      </x:c>
      <x:c r="N91" s="24"/>
      <x:c r="O91" s="24" t="str">
        <x:v>图片公司合并更新；排除无关zagroup.tech同名网站。https://bank.za.group/banking-talent-programme 为2022/23旧项目，不作为2027机会。</x:v>
      </x:c>
      <x:c r="P91" s="24" t="str">
        <x:f>IF(H91="","",H91-'申请追踪'!$B$3)</x:f>
      </x:c>
      <x:c r="Q91" s="25" t="d">
        <x:v>2026-10-13T00:00:00.000Z</x:v>
      </x:c>
    </x:row>
    <x:row r="92" ht="105" customHeight="1">
      <x:c r="A92" s="24" t="str">
        <x:v>T83</x:v>
      </x:c>
      <x:c r="B92" s="24" t="str">
        <x:v>Mox Bank</x:v>
      </x:c>
      <x:c r="C92" s="24" t="str">
        <x:v>数字银行</x:v>
      </x:c>
      <x:c r="D92" s="24" t="str">
        <x:v>香港软件/数据junior机会</x:v>
      </x:c>
      <x:c r="E92" s="24" t="str">
        <x:v>IT/数据/相关方向</x:v>
      </x:c>
      <x:c r="F92" s="24" t="str">
        <x:v>P2 观察</x:v>
      </x:c>
      <x:c r="G92" s="24" t="str">
        <x:v>所见香港Full Stack职位要求5年以上经验</x:v>
      </x:c>
      <x:c r="H92" s="25"/>
      <x:c r="I92" s="24" t="str">
        <x:v>2026-10-11未核实明确截止；未知不等于滚动招聘</x:v>
      </x:c>
      <x:c r="J92" s="24" t="str">
        <x:v>当前所见职位不适合FG；仅入公司池</x:v>
      </x:c>
      <x:c r="K92" s="24" t="str">
        <x:v>待逐岗确认</x:v>
      </x:c>
      <x:c r="L92" s="24" t="str">
        <x:v>等待junior岗位，不投已知资深JD</x:v>
      </x:c>
      <x:c r="M92" s="26" t="str">
        <x:v>https://moxbank.pinpointhq.com/en/postings/2c2ede11-bb22-4d47-ae83-ba1a0d777af4</x:v>
      </x:c>
      <x:c r="N92" s="24"/>
      <x:c r="O92" s="24" t="str">
        <x:v>此链接作为资历排除依据，不列为FG推荐</x:v>
      </x:c>
      <x:c r="P92" s="24" t="str">
        <x:f>IF(H92="","",H92-'申请追踪'!$B$3)</x:f>
      </x:c>
      <x:c r="Q92" s="25" t="d">
        <x:v>2026-10-11T00:00:00.000Z</x:v>
      </x:c>
    </x:row>
    <x:row r="93" ht="105" customHeight="1">
      <x:c r="A93" s="24" t="str">
        <x:v>T84</x:v>
      </x:c>
      <x:c r="B93" s="24" t="str">
        <x:v>Interactive Brokers 盈透证券</x:v>
      </x:c>
      <x:c r="C93" s="24" t="str">
        <x:v>券商/交易技术</x:v>
      </x:c>
      <x:c r="D93" s="24" t="str">
        <x:v>香港软件/应用支持/数据</x:v>
      </x:c>
      <x:c r="E93" s="24" t="str">
        <x:v>IT/数据/相关方向</x:v>
      </x:c>
      <x:c r="F93" s="24" t="str">
        <x:v>P2 观察</x:v>
      </x:c>
      <x:c r="G93" s="24" t="str">
        <x:v>官方职业入口列香港；具体FG岗位未核</x:v>
      </x:c>
      <x:c r="H93" s="25"/>
      <x:c r="I93" s="24" t="str">
        <x:v>2026-10-11未核实明确截止；未知不等于滚动招聘</x:v>
      </x:c>
      <x:c r="J93" s="24" t="str">
        <x:v>需确认经验、轮班、语言、到岗时间</x:v>
      </x:c>
      <x:c r="K93" s="24" t="str">
        <x:v>待逐岗确认</x:v>
      </x:c>
      <x:c r="L93" s="24" t="str">
        <x:v>筛Hong Kong及entry level</x:v>
      </x:c>
      <x:c r="M93" s="26" t="str">
        <x:v>https://www.interactivebrokers.co.uk/cn/index.php?f=27520</x:v>
      </x:c>
      <x:c r="N93" s="24"/>
      <x:c r="O93" s="24" t="str">
        <x:v>新增金融技术雇主池</x:v>
      </x:c>
      <x:c r="P93" s="24" t="str">
        <x:f>IF(H93="","",H93-'申请追踪'!$B$3)</x:f>
      </x:c>
      <x:c r="Q93" s="25" t="d">
        <x:v>2026-10-11T00:00:00.000Z</x:v>
      </x:c>
    </x:row>
    <x:row r="94" ht="105" customHeight="1">
      <x:c r="A94" s="24" t="str">
        <x:v>T85</x:v>
      </x:c>
      <x:c r="B94" s="24" t="str">
        <x:v>Citi 花旗</x:v>
      </x:c>
      <x:c r="C94" s="24" t="str">
        <x:v>银行</x:v>
      </x:c>
      <x:c r="D94" s="24" t="str">
        <x:v>香港Technology/Operations/Analyst</x:v>
      </x:c>
      <x:c r="E94" s="24" t="str">
        <x:v>IT/数据/相关方向</x:v>
      </x:c>
      <x:c r="F94" s="24" t="str">
        <x:v>P2 观察</x:v>
      </x:c>
      <x:c r="G94" s="24" t="str">
        <x:v>官方招聘入口可查；具体香港2027技术岗未确认</x:v>
      </x:c>
      <x:c r="H94" s="25"/>
      <x:c r="I94" s="24" t="str">
        <x:v>2026-10-11未核实明确截止；未知不等于滚动招聘</x:v>
      </x:c>
      <x:c r="J94" s="24" t="str">
        <x:v>不能将海外技术项目或香港业务岗当香港技术FG</x:v>
      </x:c>
      <x:c r="K94" s="24" t="str">
        <x:v>待逐岗确认</x:v>
      </x:c>
      <x:c r="L94" s="24" t="str">
        <x:v>筛香港及毕业生项目</x:v>
      </x:c>
      <x:c r="M94" s="26" t="str">
        <x:v>https://jobs.citi.com/</x:v>
      </x:c>
      <x:c r="N94" s="24"/>
      <x:c r="O94" s="24" t="str">
        <x:v>新增金融雇主池；截止逐岗核实</x:v>
      </x:c>
      <x:c r="P94" s="24" t="str">
        <x:f>IF(H94="","",H94-'申请追踪'!$B$3)</x:f>
      </x:c>
      <x:c r="Q94" s="25" t="d">
        <x:v>2026-10-11T00:00:00.000Z</x:v>
      </x:c>
    </x:row>
    <x:row r="95" ht="105" customHeight="1">
      <x:c r="A95" s="24" t="str">
        <x:v>T86</x:v>
      </x:c>
      <x:c r="B95" s="24" t="str">
        <x:v>JPMorgan Chase 摩根大通</x:v>
      </x:c>
      <x:c r="C95" s="24" t="str">
        <x:v>银行</x:v>
      </x:c>
      <x:c r="D95" s="24" t="str">
        <x:v>香港技术/数据/分析师项目</x:v>
      </x:c>
      <x:c r="E95" s="24" t="str">
        <x:v>IT/数据/相关方向</x:v>
      </x:c>
      <x:c r="F95" s="24" t="str">
        <x:v>P2 观察</x:v>
      </x:c>
      <x:c r="G95" s="24" t="str">
        <x:v>官方项目入口可查；香港2027技术岗未确认</x:v>
      </x:c>
      <x:c r="H95" s="25"/>
      <x:c r="I95" s="24" t="str">
        <x:v>2026-10-11未核实明确截止；未知不等于滚动招聘</x:v>
      </x:c>
      <x:c r="J95" s="24" t="str">
        <x:v>地区、项目和毕业时间逐岗核实</x:v>
      </x:c>
      <x:c r="K95" s="24" t="str">
        <x:v>待逐岗确认</x:v>
      </x:c>
      <x:c r="L95" s="24" t="str">
        <x:v>先筛香港Technology/Data方向</x:v>
      </x:c>
      <x:c r="M95" s="26" t="str">
        <x:v>https://www.jpmorganchase.com/careers/explore-opportunities/programs</x:v>
      </x:c>
      <x:c r="N95" s="24"/>
      <x:c r="O95" s="24" t="str">
        <x:v>新增金融雇主池；非确认开放岗位</x:v>
      </x:c>
      <x:c r="P95" s="24" t="str">
        <x:f>IF(H95="","",H95-'申请追踪'!$B$3)</x:f>
      </x:c>
      <x:c r="Q95" s="25" t="d">
        <x:v>2026-10-11T00:00:00.000Z</x:v>
      </x:c>
    </x:row>
    <x:row r="96" ht="105" customHeight="1">
      <x:c r="A96" s="24" t="str">
        <x:v>T87</x:v>
      </x:c>
      <x:c r="B96" s="24" t="str">
        <x:v>Goldman Sachs 高盛</x:v>
      </x:c>
      <x:c r="C96" s="24" t="str">
        <x:v>投行</x:v>
      </x:c>
      <x:c r="D96" s="24" t="str">
        <x:v>香港Engineering/Data/New Analyst</x:v>
      </x:c>
      <x:c r="E96" s="24" t="str">
        <x:v>IT/数据/相关方向</x:v>
      </x:c>
      <x:c r="F96" s="24" t="str">
        <x:v>P2 观察</x:v>
      </x:c>
      <x:c r="G96" s="24" t="str">
        <x:v>官方学生入口可查；香港2027全职技术岗位未确认</x:v>
      </x:c>
      <x:c r="H96" s="25"/>
      <x:c r="I96" s="24" t="str">
        <x:v>2026-10-11未核实明确截止；未知不等于滚动招聘</x:v>
      </x:c>
      <x:c r="J96" s="24" t="str">
        <x:v>实习与全职分开；香港地点及毕业资格待核</x:v>
      </x:c>
      <x:c r="K96" s="24" t="str">
        <x:v>待逐岗确认</x:v>
      </x:c>
      <x:c r="L96" s="24" t="str">
        <x:v>筛香港Engineering全职项目</x:v>
      </x:c>
      <x:c r="M96" s="26" t="str">
        <x:v>https://www.goldmansachs.com/careers/students</x:v>
      </x:c>
      <x:c r="N96" s="24"/>
      <x:c r="O96" s="24" t="str">
        <x:v>新增金融雇主池；非确认开放岗位</x:v>
      </x:c>
      <x:c r="P96" s="24" t="str">
        <x:f>IF(H96="","",H96-'申请追踪'!$B$3)</x:f>
      </x:c>
      <x:c r="Q96" s="25" t="d">
        <x:v>2026-10-11T00:00:00.000Z</x:v>
      </x:c>
    </x:row>
    <x:row r="97" ht="105" customHeight="1">
      <x:c r="A97" s="24" t="str">
        <x:v>T88</x:v>
      </x:c>
      <x:c r="B97" s="24" t="str">
        <x:v>Morgan Stanley 摩根士丹利</x:v>
      </x:c>
      <x:c r="C97" s="24" t="str">
        <x:v>投行</x:v>
      </x:c>
      <x:c r="D97" s="24" t="str">
        <x:v>香港Technology/Analyst</x:v>
      </x:c>
      <x:c r="E97" s="24" t="str">
        <x:v>IT/数据/相关方向</x:v>
      </x:c>
      <x:c r="F97" s="24" t="str">
        <x:v>P2 观察</x:v>
      </x:c>
      <x:c r="G97" s="24" t="str">
        <x:v>官方学生毕业生入口可查；香港2027技术岗未确认</x:v>
      </x:c>
      <x:c r="H97" s="25"/>
      <x:c r="I97" s="24" t="str">
        <x:v>2026-10-11未核实明确截止；未知不等于滚动招聘</x:v>
      </x:c>
      <x:c r="J97" s="24" t="str">
        <x:v>不要套用其他地区项目截止</x:v>
      </x:c>
      <x:c r="K97" s="24" t="str">
        <x:v>待逐岗确认</x:v>
      </x:c>
      <x:c r="L97" s="24" t="str">
        <x:v>筛Hong Kong及Technology</x:v>
      </x:c>
      <x:c r="M97" s="26" t="str">
        <x:v>https://www.morganstanley.com/people-opportunities/students-graduates</x:v>
      </x:c>
      <x:c r="N97" s="24"/>
      <x:c r="O97" s="24" t="str">
        <x:v>新增金融雇主池；截止逐岗核实</x:v>
      </x:c>
      <x:c r="P97" s="24" t="str">
        <x:f>IF(H97="","",H97-'申请追踪'!$B$3)</x:f>
      </x:c>
      <x:c r="Q97" s="25" t="d">
        <x:v>2026-10-11T00:00:00.000Z</x:v>
      </x:c>
    </x:row>
    <x:row r="98" ht="105" customHeight="1">
      <x:c r="A98" s="24" t="str">
        <x:v>T89</x:v>
      </x:c>
      <x:c r="B98" s="24" t="str">
        <x:v>ASMPT 香港</x:v>
      </x:c>
      <x:c r="C98" s="24" t="str">
        <x:v>半导体设备</x:v>
      </x:c>
      <x:c r="D98" s="24" t="str">
        <x:v>软件/Computer Vision/自动化</x:v>
      </x:c>
      <x:c r="E98" s="24" t="str">
        <x:v>IT/数据/相关方向</x:v>
      </x:c>
      <x:c r="F98" s="24" t="str">
        <x:v>P2 观察</x:v>
      </x:c>
      <x:c r="G98" s="24" t="str">
        <x:v>官方招聘板可用；旧FG Computer Vision链接已失效</x:v>
      </x:c>
      <x:c r="H98" s="25"/>
      <x:c r="I98" s="24" t="str">
        <x:v>2026-10-11未核实明确截止；未知不等于滚动招聘</x:v>
      </x:c>
      <x:c r="J98" s="24" t="str">
        <x:v>当前香港FG资格需从新JD确认</x:v>
      </x:c>
      <x:c r="K98" s="24" t="str">
        <x:v>待逐岗确认</x:v>
      </x:c>
      <x:c r="L98" s="24" t="str">
        <x:v>筛香港软件/视觉及fresh graduate</x:v>
      </x:c>
      <x:c r="M98" s="26" t="str">
        <x:v>https://asmpthk.recruitee.com/</x:v>
      </x:c>
      <x:c r="N98" s="24"/>
      <x:c r="O98" s="24" t="str">
        <x:v>不把旧404岗位继续列作在招</x:v>
      </x:c>
      <x:c r="P98" s="24" t="str">
        <x:f>IF(H98="","",H98-'申请追踪'!$B$3)</x:f>
      </x:c>
      <x:c r="Q98" s="25" t="d">
        <x:v>2026-10-11T00:00:00.000Z</x:v>
      </x:c>
    </x:row>
    <x:row r="99" ht="120" customHeight="1">
      <x:c r="A99" s="24" t="str">
        <x:v>T90</x:v>
      </x:c>
      <x:c r="B99" s="24" t="str">
        <x:v>Fano Labs 有光科技</x:v>
      </x:c>
      <x:c r="C99" s="24" t="str">
        <x:v>企业语音AI/金融合规</x:v>
      </x:c>
      <x:c r="D99" s="24" t="str">
        <x:v>香港软件/AI岗位观察；Research Scientist</x:v>
      </x:c>
      <x:c r="E99" s="24" t="str">
        <x:v>AI/Agent/软件</x:v>
      </x:c>
      <x:c r="F99" s="24" t="str">
        <x:v>P2 学历/职位待核</x:v>
      </x:c>
      <x:c r="G99" s="24" t="str">
        <x:v>官网有香港Research Scientist（Entry）；明确要求博士。Software Engineer旧链接404。</x:v>
      </x:c>
      <x:c r="H99" s="25"/>
      <x:c r="I99" s="24" t="str">
        <x:v>2026-10-13未核到明确雇主截止；留空不表示滚动招聘。</x:v>
      </x:c>
      <x:c r="J99" s="24" t="str">
        <x:v>Research Scientist需CS相关博士，不作为普通硕士FG推荐；其他junior工程岗待核。</x:v>
      </x:c>
      <x:c r="K99" s="24" t="str">
        <x:v>2027到岗待雇主确认</x:v>
      </x:c>
      <x:c r="L99" s="24" t="str">
        <x:v>关注香港软件/AI工程岗；不要仅凭Entry标签投博士岗。</x:v>
      </x:c>
      <x:c r="M99" s="26" t="str">
        <x:v>https://fano.ai/careers/</x:v>
      </x:c>
      <x:c r="N99" s="24"/>
      <x:c r="O99" s="24" t="str">
        <x:v>图片名单；金融客户不等于金融雇主。https://fano.ai/jobs/research-scientist/；官网未列截止，2027到岗未知。</x:v>
      </x:c>
      <x:c r="P99" s="24" t="str">
        <x:f>IF(H99="","",H99-'申请追踪'!$B$3)</x:f>
      </x:c>
      <x:c r="Q99" s="25" t="d">
        <x:v>2026-10-13T00:00:00.000Z</x:v>
      </x:c>
    </x:row>
    <x:row r="100" ht="120" customHeight="1">
      <x:c r="A100" s="24" t="str">
        <x:v>T91</x:v>
      </x:c>
      <x:c r="B100" s="24" t="str">
        <x:v>Wiener Intelligence 维纳智能</x:v>
      </x:c>
      <x:c r="C100" s="24" t="str">
        <x:v>企业Agentic AI</x:v>
      </x:c>
      <x:c r="D100" s="24" t="str">
        <x:v>LLM/Agent评测与应用工程（观察）</x:v>
      </x:c>
      <x:c r="E100" s="24" t="str">
        <x:v>AI/Agent/软件</x:v>
      </x:c>
      <x:c r="F100" s="24" t="str">
        <x:v>P2 资格待核</x:v>
      </x:c>
      <x:c r="G100" s="24" t="str">
        <x:v>官网确认香港总部及Agentic AI业务，提供人才推荐联系；平台见LLM Specialist线索。</x:v>
      </x:c>
      <x:c r="H100" s="25"/>
      <x:c r="I100" s="24" t="str">
        <x:v>2026-10-13未核到明确雇主截止；留空不表示滚动招聘。</x:v>
      </x:c>
      <x:c r="J100" s="24" t="str">
        <x:v>平台职位写1–3年、HK Residents Only；不可等同IANG可投或明确FG。香港2027全职待核。</x:v>
      </x:c>
      <x:c r="K100" s="24" t="str">
        <x:v>2027到岗待雇主确认</x:v>
      </x:c>
      <x:c r="L100" s="24" t="str">
        <x:v>官网人才联系渠道确认junior职位、地点、签证和到岗；不直接作为已开放校招。</x:v>
      </x:c>
      <x:c r="M100" s="26" t="str">
        <x:v>https://wiener.pro/</x:v>
      </x:c>
      <x:c r="N100" s="24"/>
      <x:c r="O100" s="24" t="str">
        <x:v>图片名单；平台资格仅为线索：https://www.offertoday.com/hk/job/JINkxzEyZHL-NhxOGY9dKQ%3D%3D；旧医学评测实习不等于软件FG。</x:v>
      </x:c>
      <x:c r="P100" s="24" t="str">
        <x:f>IF(H100="","",H100-'申请追踪'!$B$3)</x:f>
      </x:c>
      <x:c r="Q100" s="25" t="d">
        <x:v>2026-10-13T00:00:00.000Z</x:v>
      </x:c>
    </x:row>
    <x:row r="101" ht="120" customHeight="1">
      <x:c r="A101" s="24" t="str">
        <x:v>T92</x:v>
      </x:c>
      <x:c r="B101" s="24" t="str">
        <x:v>SleekFlow</x:v>
      </x:c>
      <x:c r="C101" s="24" t="str">
        <x:v>对话式AI/SaaS</x:v>
      </x:c>
      <x:c r="D101" s="24" t="str">
        <x:v>香港AI Engineer / AgentFlow工程（观察）</x:v>
      </x:c>
      <x:c r="E101" s="24" t="str">
        <x:v>AI/Agent/软件</x:v>
      </x:c>
      <x:c r="F101" s="24" t="str">
        <x:v>P2 等新岗位</x:v>
      </x:c>
      <x:c r="G101" s="24" t="str">
        <x:v>官网有香港工程团队；核到AI Engineer广告已停止申请，要求1–2年RAG/LLM经验。</x:v>
      </x:c>
      <x:c r="H101" s="25"/>
      <x:c r="I101" s="24" t="str">
        <x:v>2026-10-13未核到明确雇主截止；留空不表示滚动招聘。</x:v>
      </x:c>
      <x:c r="J101" s="24" t="str">
        <x:v>旧岗非明确FG；未来junior职位与2027到岗待核。</x:v>
      </x:c>
      <x:c r="K101" s="24" t="str">
        <x:v>2027到岗待雇主确认</x:v>
      </x:c>
      <x:c r="L101" s="24" t="str">
        <x:v>通过官网招聘入口找新发布的香港junior/graduate岗。</x:v>
      </x:c>
      <x:c r="M101" s="26" t="str">
        <x:v>https://sleekflow.io/career</x:v>
      </x:c>
      <x:c r="N101" s="24"/>
      <x:c r="O101" s="24" t="str">
        <x:v>图片名单；旧岗排除依据：https://hk.linkedin.com/jobs/view/ai-engineer-at-sleekflow-4363987132；不得当作当前开放岗位。</x:v>
      </x:c>
      <x:c r="P101" s="24" t="str">
        <x:f>IF(H101="","",H101-'申请追踪'!$B$3)</x:f>
      </x:c>
      <x:c r="Q101" s="25" t="d">
        <x:v>2026-10-13T00:00:00.000Z</x:v>
      </x:c>
    </x:row>
    <x:row r="102" ht="120" customHeight="1">
      <x:c r="A102" s="24" t="str">
        <x:v>T93</x:v>
      </x:c>
      <x:c r="B102" s="24" t="str">
        <x:v>Mobvista 汇量科技 / Mintegral</x:v>
      </x:c>
      <x:c r="C102" s="24" t="str">
        <x:v>广告技术/营销AI</x:v>
      </x:c>
      <x:c r="D102" s="24" t="str">
        <x:v>算法/数据/软件校招（香港目标）</x:v>
      </x:c>
      <x:c r="E102" s="24" t="str">
        <x:v>AI/Agent/软件</x:v>
      </x:c>
      <x:c r="F102" s="24" t="str">
        <x:v>P2 地点待核</x:v>
      </x:c>
      <x:c r="G102" s="24" t="str">
        <x:v>官网招聘页及校招培养介绍可核；未确认香港2027应届技术JD。</x:v>
      </x:c>
      <x:c r="H102" s="25"/>
      <x:c r="I102" s="24" t="str">
        <x:v>2026-10-13未核到明确雇主截止；留空不表示滚动招聘。</x:v>
      </x:c>
      <x:c r="J102" s="24" t="str">
        <x:v>上市地/集团业务不代表香港研发岗位；需筛工作城市、届别、经验。</x:v>
      </x:c>
      <x:c r="K102" s="24" t="str">
        <x:v>2027到岗待雇主确认</x:v>
      </x:c>
      <x:c r="L102" s="24" t="str">
        <x:v>由官网核实校招入口和香港岗位，不套用内地岗位。</x:v>
      </x:c>
      <x:c r="M102" s="26" t="str">
        <x:v>https://www.mobvista.com/en/careers</x:v>
      </x:c>
      <x:c r="N102" s="24"/>
      <x:c r="O102" s="24" t="str">
        <x:v>图片名单；官网中文校招介绍：https://www.mobvista.com/cn/careers/；本轮未找到可证实香港FG的具体申请页。</x:v>
      </x:c>
      <x:c r="P102" s="24" t="str">
        <x:f>IF(H102="","",H102-'申请追踪'!$B$3)</x:f>
      </x:c>
      <x:c r="Q102" s="25" t="d">
        <x:v>2026-10-13T00:00:00.000Z</x:v>
      </x:c>
    </x:row>
    <x:row r="103" ht="120" customHeight="1">
      <x:c r="A103" s="24" t="str">
        <x:v>T94</x:v>
      </x:c>
      <x:c r="B103" s="24" t="str">
        <x:v>EcoRetail.AI（主体待核）</x:v>
      </x:c>
      <x:c r="C103" s="24" t="str">
        <x:v>零售数据/Agent接口</x:v>
      </x:c>
      <x:c r="D103" s="24" t="str">
        <x:v>香港AI/数据工程机会（身份与岗位待核）</x:v>
      </x:c>
      <x:c r="E103" s="24" t="str">
        <x:v>AI/Agent/软件</x:v>
      </x:c>
      <x:c r="F103" s="24" t="str">
        <x:v>P3 先核主体</x:v>
      </x:c>
      <x:c r="G103" s="24" t="str">
        <x:v>同名官网自称中国绿店数据科技控股集团；未找到可核香港招聘页。</x:v>
      </x:c>
      <x:c r="H103" s="25"/>
      <x:c r="I103" s="24" t="str">
        <x:v>2026-10-13未核到明确雇主截止；留空不表示滚动招聘。</x:v>
      </x:c>
      <x:c r="J103" s="24" t="str">
        <x:v>尚不能确认该网站就是图片所指香港雇主；无香港办公/2027/FG证据。</x:v>
      </x:c>
      <x:c r="K103" s="24" t="str">
        <x:v>2027到岗待雇主确认</x:v>
      </x:c>
      <x:c r="L103" s="24" t="str">
        <x:v>先确认图片来源、香港雇佣主体及正式职位，暂不列可投。</x:v>
      </x:c>
      <x:c r="M103" s="26" t="str">
        <x:v>https://www.ecoretail.ai/</x:v>
      </x:c>
      <x:c r="N103" s="24"/>
      <x:c r="O103" s="24" t="str">
        <x:v>图片名单；网站主要为门店数据及渠道合作，合作/设备投资入口不是求职入口；不采信图片的梯队排名。</x:v>
      </x:c>
      <x:c r="P103" s="24" t="str">
        <x:f>IF(H103="","",H103-'申请追踪'!$B$3)</x:f>
      </x:c>
      <x:c r="Q103" s="25" t="d">
        <x:v>2026-10-13T00:00:00.000Z</x:v>
      </x:c>
    </x:row>
    <x:row r="104" ht="120" customHeight="1">
      <x:c r="A104" s="24" t="str">
        <x:v>T95</x:v>
      </x:c>
      <x:c r="B104" s="24" t="str">
        <x:v>WiseLaw 智法数科</x:v>
      </x:c>
      <x:c r="C104" s="24" t="str">
        <x:v>法律科技/合规AI</x:v>
      </x:c>
      <x:c r="D104" s="24" t="str">
        <x:v>AI工程师/法律合规Agent（香港目标）</x:v>
      </x:c>
      <x:c r="E104" s="24" t="str">
        <x:v>AI/Agent/软件</x:v>
      </x:c>
      <x:c r="F104" s="24" t="str">
        <x:v>P2 地点/经验不符</x:v>
      </x:c>
      <x:c r="G104" s="24" t="str">
        <x:v>官网列AI工程师：深圳全职、3年以上；香港列销售/BD：3–5年。</x:v>
      </x:c>
      <x:c r="H104" s="25"/>
      <x:c r="I104" s="24" t="str">
        <x:v>2026-10-13未核到明确雇主截止；留空不表示滚动招聘。</x:v>
      </x:c>
      <x:c r="J104" s="24" t="str">
        <x:v>现有AI岗不是香港FG；AI产品经理同为深圳3年以上。</x:v>
      </x:c>
      <x:c r="K104" s="24" t="str">
        <x:v>2027到岗待雇主确认</x:v>
      </x:c>
      <x:c r="L104" s="24" t="str">
        <x:v>观察新发布香港junior工程岗；现有职位不列应届优先。</x:v>
      </x:c>
      <x:c r="M104" s="26" t="str">
        <x:v>https://www.wiselawai.cn/zh/about</x:v>
      </x:c>
      <x:c r="N104" s="24"/>
      <x:c r="O104" s="24" t="str">
        <x:v>图片名单；官网直接列工作地点及年限；没有确认香港2027技术校招。</x:v>
      </x:c>
      <x:c r="P104" s="24" t="str">
        <x:f>IF(H104="","",H104-'申请追踪'!$B$3)</x:f>
      </x:c>
      <x:c r="Q104" s="25" t="d">
        <x:v>2026-10-13T00:00:00.000Z</x:v>
      </x:c>
    </x:row>
    <x:row r="105" ht="120" customHeight="1">
      <x:c r="A105" s="24" t="str">
        <x:v>T96</x:v>
      </x:c>
      <x:c r="B105" s="24" t="str">
        <x:v>Insilico Medicine 英矽智能</x:v>
      </x:c>
      <x:c r="C105" s="24" t="str">
        <x:v>AI制药</x:v>
      </x:c>
      <x:c r="D105" s="24" t="str">
        <x:v>香港ML/软件/数据研究（观察）</x:v>
      </x:c>
      <x:c r="E105" s="24" t="str">
        <x:v>AI/Agent/软件</x:v>
      </x:c>
      <x:c r="F105" s="24" t="str">
        <x:v>P2 地点/专业待核</x:v>
      </x:c>
      <x:c r="G105" s="24" t="str">
        <x:v>官网有香港办公室；当前公开ML Researcher为阿布扎比的Senior方向。</x:v>
      </x:c>
      <x:c r="H105" s="25"/>
      <x:c r="I105" s="24" t="str">
        <x:v>2026-10-13未核到明确雇主截止；留空不表示滚动招聘。</x:v>
      </x:c>
      <x:c r="J105" s="24" t="str">
        <x:v>公开岗需硕士或博士及分子/几何深度学习经验；不能当香港应届Agent岗。</x:v>
      </x:c>
      <x:c r="K105" s="24" t="str">
        <x:v>2027到岗待雇主确认</x:v>
      </x:c>
      <x:c r="L105" s="24" t="str">
        <x:v>通过官方careers确认香港junior/研究工程机会及专业匹配。</x:v>
      </x:c>
      <x:c r="M105" s="26" t="str">
        <x:v>https://insilico.com/careers</x:v>
      </x:c>
      <x:c r="N105" s="24"/>
      <x:c r="O105" s="24" t="str">
        <x:v>图片名单；https://insilico.com/contact_tc 确认香港办公及career@insilico.com；本轮未发送邮件。</x:v>
      </x:c>
      <x:c r="P105" s="24" t="str">
        <x:f>IF(H105="","",H105-'申请追踪'!$B$3)</x:f>
      </x:c>
      <x:c r="Q105" s="25" t="d">
        <x:v>2026-10-13T00:00:00.000Z</x:v>
      </x:c>
    </x:row>
    <x:row r="106" ht="120" customHeight="1">
      <x:c r="A106" s="24" t="str">
        <x:v>T97</x:v>
      </x:c>
      <x:c r="B106" s="24" t="str">
        <x:v>Set Sail AI</x:v>
      </x:c>
      <x:c r="C106" s="24" t="str">
        <x:v>企业Agentic AI</x:v>
      </x:c>
      <x:c r="D106" s="24" t="str">
        <x:v>Junior Applied AI Engineer — LLM/RAG/ML</x:v>
      </x:c>
      <x:c r="E106" s="24" t="str">
        <x:v>AI/Agent/软件</x:v>
      </x:c>
      <x:c r="F106" s="24" t="str">
        <x:v>P1 优先核实到岗</x:v>
      </x:c>
      <x:c r="G106" s="24" t="str">
        <x:v>雇主LinkedIn有香港全职JD，明确Fresh Graduates Welcome；未见关闭标记。</x:v>
      </x:c>
      <x:c r="H106" s="25"/>
      <x:c r="I106" s="24" t="str">
        <x:v>2026-10-13未核到明确雇主截止；留空不表示滚动招聘。</x:v>
      </x:c>
      <x:c r="J106" s="24" t="str">
        <x:v>相关本科以上，应届或最多1年经验；Python、RAG与评测基础；接受课程/实习/个人项目。2027到岗待确认。</x:v>
      </x:c>
      <x:c r="K106" s="24" t="str">
        <x:v>2027到岗待雇主确认</x:v>
      </x:c>
      <x:c r="L106" s="24" t="str">
        <x:v>优先准备AI应用简历与RAG评测案例；确认2027可到岗及实际申请入口。</x:v>
      </x:c>
      <x:c r="M106" s="26" t="str">
        <x:v>https://hk.linkedin.com/jobs/view/junior-applied-ai-engineer-set-sail-ai-at-set-sail-a-i-4453542018</x:v>
      </x:c>
      <x:c r="N106" s="24"/>
      <x:c r="O106" s="24" t="str">
        <x:v>同类扩展；https://setsail.ai/ 确认企业Agent产品；雇主职位广告为资格来源，尚无2027专属校招承诺。</x:v>
      </x:c>
      <x:c r="P106" s="24" t="str">
        <x:f>IF(H106="","",H106-'申请追踪'!$B$3)</x:f>
      </x:c>
      <x:c r="Q106" s="25" t="d">
        <x:v>2026-10-13T00:00:00.000Z</x:v>
      </x:c>
    </x:row>
    <x:row r="107" ht="120" customHeight="1">
      <x:c r="A107" s="24" t="str">
        <x:v>T98</x:v>
      </x:c>
      <x:c r="B107" s="24" t="str">
        <x:v>Oursky / FormX</x:v>
      </x:c>
      <x:c r="C107" s="24" t="str">
        <x:v>企业软件/文档AI</x:v>
      </x:c>
      <x:c r="D107" s="24" t="str">
        <x:v>Associate Software Solutions Engineer (Presales)</x:v>
      </x:c>
      <x:c r="E107" s="24" t="str">
        <x:v>AI/Agent/软件</x:v>
      </x:c>
      <x:c r="F107" s="24" t="str">
        <x:v>P1 粤语/到岗待核</x:v>
      </x:c>
      <x:c r="G107" s="24" t="str">
        <x:v>官方动态职位页已读，香港Full-Time且明确欢迎应届；官网另列Software Developer。</x:v>
      </x:c>
      <x:c r="H107" s="25"/>
      <x:c r="I107" s="24" t="str">
        <x:v>2026-10-13未核到明确雇主截止；留空不表示滚动招聘。</x:v>
      </x:c>
      <x:c r="J107" s="24" t="str">
        <x:v>要求英语和粤语沟通、AI工具快速原型及技术方案能力；偏客户方案/售前，非纯算法研发。2027到岗待核。</x:v>
      </x:c>
      <x:c r="K107" s="24" t="str">
        <x:v>2027到岗待雇主确认</x:v>
      </x:c>
      <x:c r="L107" s="24" t="str">
        <x:v>接受售前方向且语言匹配则优先准备；纯开发偏好可查同站Software Developer。</x:v>
      </x:c>
      <x:c r="M107" s="26" t="str">
        <x:v>https://jobs.oursky.com/jobs/presales-junior</x:v>
      </x:c>
      <x:c r="N107" s="24"/>
      <x:c r="O107" s="24" t="str">
        <x:v>同类扩展；已用浏览器核官方JD及Apply按钮；https://jobs.oursky.com/；FormX不另算独立雇主。</x:v>
      </x:c>
      <x:c r="P107" s="24" t="str">
        <x:f>IF(H107="","",H107-'申请追踪'!$B$3)</x:f>
      </x:c>
      <x:c r="Q107" s="25" t="d">
        <x:v>2026-10-13T00:00:00.000Z</x:v>
      </x:c>
    </x:row>
    <x:row r="108" ht="120" customHeight="1">
      <x:c r="A108" s="24" t="str">
        <x:v>T99</x:v>
      </x:c>
      <x:c r="B108" s="24" t="str">
        <x:v>CHAIN Technology Development</x:v>
      </x:c>
      <x:c r="C108" s="24" t="str">
        <x:v>企业AI/数字化</x:v>
      </x:c>
      <x:c r="D108" s="24" t="str">
        <x:v>AI Engineer — Agentic AI / LLMOps</x:v>
      </x:c>
      <x:c r="E108" s="24" t="str">
        <x:v>AI/Agent/软件</x:v>
      </x:c>
      <x:c r="F108" s="24" t="str">
        <x:v>P1 重开状态待核</x:v>
      </x:c>
      <x:c r="G108" s="24" t="str">
        <x:v>雇主旧LinkedIn JD明确欢迎应届但已关闭；Jobsdb近期列表仍见同名职位。</x:v>
      </x:c>
      <x:c r="H108" s="25"/>
      <x:c r="I108" s="24" t="str">
        <x:v>2026-10-13未核到明确雇主截止；留空不表示滚动招聘。</x:v>
      </x:c>
      <x:c r="J108" s="24" t="str">
        <x:v>相关本科以上，Python/PyTorch或TensorFlow及部署技能；当前开放渠道冲突，2027到岗未确认。</x:v>
      </x:c>
      <x:c r="K108" s="24" t="str">
        <x:v>2027到岗待雇主确认</x:v>
      </x:c>
      <x:c r="L108" s="24" t="str">
        <x:v>先核实Jobsdb具体新JD及申请状态，再投递；不可使用已关闭旧岗。</x:v>
      </x:c>
      <x:c r="M108" s="26" t="str">
        <x:v>https://hk.linkedin.com/jobs/view/ai-engineer-at-chain-technology-development-4426204722</x:v>
      </x:c>
      <x:c r="N108" s="24"/>
      <x:c r="O108" s="24" t="str">
        <x:v>同类扩展；新线索：https://hk.jobsdb.com/data-engineer-fresh-graduate-jobs/in-Kwun-Tong-District/full-time；LLMOps、多Agent与用户方向贴合。</x:v>
      </x:c>
      <x:c r="P108" s="24" t="str">
        <x:f>IF(H108="","",H108-'申请追踪'!$B$3)</x:f>
      </x:c>
      <x:c r="Q108" s="25" t="d">
        <x:v>2026-10-13T00:00:00.000Z</x:v>
      </x:c>
    </x:row>
    <x:row r="109" ht="120" customHeight="1">
      <x:c r="A109" s="24" t="str">
        <x:v>T100</x:v>
      </x:c>
      <x:c r="B109" s="24" t="str">
        <x:v>imBee</x:v>
      </x:c>
      <x:c r="C109" s="24" t="str">
        <x:v>对话式AI/SaaS</x:v>
      </x:c>
      <x:c r="D109" s="24" t="str">
        <x:v>Prompt AI Engineer（待核新岗位）</x:v>
      </x:c>
      <x:c r="E109" s="24" t="str">
        <x:v>AI/Agent/软件</x:v>
      </x:c>
      <x:c r="F109" s="24" t="str">
        <x:v>P2 开放状态待核</x:v>
      </x:c>
      <x:c r="G109" s="24" t="str">
        <x:v>官网确认AI消息平台；Jobsdb有香港Prompt AI Engineer线索，未核到当前完整雇主JD。</x:v>
      </x:c>
      <x:c r="H109" s="25"/>
      <x:c r="I109" s="24" t="str">
        <x:v>2026-10-13未核到明确雇主截止；留空不表示滚动招聘。</x:v>
      </x:c>
      <x:c r="J109" s="24" t="str">
        <x:v>0–2年资格来自转载，不能视为官方已确认；当前开放、香港雇佣与2027到岗待核。</x:v>
      </x:c>
      <x:c r="K109" s="24" t="str">
        <x:v>2027到岗待雇主确认</x:v>
      </x:c>
      <x:c r="L109" s="24" t="str">
        <x:v>以官网/雇主新广告确认年限和职位有效性。</x:v>
      </x:c>
      <x:c r="M109" s="26" t="str">
        <x:v>https://www.imbee.io/</x:v>
      </x:c>
      <x:c r="N109" s="24"/>
      <x:c r="O109" s="24" t="str">
        <x:v>同类扩展；https://hk.jobsdb.com/imbee-jobs；转载到期与相对发布日期不作为雇主截止。</x:v>
      </x:c>
      <x:c r="P109" s="24" t="str">
        <x:f>IF(H109="","",H109-'申请追踪'!$B$3)</x:f>
      </x:c>
      <x:c r="Q109" s="25" t="d">
        <x:v>2026-10-13T00:00:00.000Z</x:v>
      </x:c>
    </x:row>
    <x:row r="110" ht="120" customHeight="1">
      <x:c r="A110" s="24" t="str">
        <x:v>T101</x:v>
      </x:c>
      <x:c r="B110" s="24" t="str">
        <x:v>Votee AI</x:v>
      </x:c>
      <x:c r="C110" s="24" t="str">
        <x:v>企业Agent/粤语LLM</x:v>
      </x:c>
      <x:c r="D110" s="24" t="str">
        <x:v>Agentic RAG/LLM/数据工程（观察）</x:v>
      </x:c>
      <x:c r="E110" s="24" t="str">
        <x:v>AI/Agent/软件</x:v>
      </x:c>
      <x:c r="F110" s="24" t="str">
        <x:v>P2 观察</x:v>
      </x:c>
      <x:c r="G110" s="24" t="str">
        <x:v>官网确认Agent工作流、粤语LLM及香港地址；未见可核当前FG职位。</x:v>
      </x:c>
      <x:c r="H110" s="25"/>
      <x:c r="I110" s="24" t="str">
        <x:v>2026-10-13未核到明确雇主截止；留空不表示滚动招聘。</x:v>
      </x:c>
      <x:c r="J110" s="24" t="str">
        <x:v>旧staging招聘页为多年历史，不作为2027在招依据；需确认语言、经验和到岗。</x:v>
      </x:c>
      <x:c r="K110" s="24" t="str">
        <x:v>2027到岗待雇主确认</x:v>
      </x:c>
      <x:c r="L110" s="24" t="str">
        <x:v>关注新技术岗位；产品相关性高，当前申请资格未知。</x:v>
      </x:c>
      <x:c r="M110" s="26" t="str">
        <x:v>https://votee.ai/</x:v>
      </x:c>
      <x:c r="N110" s="24"/>
      <x:c r="O110" s="24" t="str">
        <x:v>同类扩展；不采信官网产品效果宣传作为雇主稳定性或易录取证据。</x:v>
      </x:c>
      <x:c r="P110" s="24" t="str">
        <x:f>IF(H110="","",H110-'申请追踪'!$B$3)</x:f>
      </x:c>
      <x:c r="Q110" s="25" t="d">
        <x:v>2026-10-13T00:00:00.000Z</x:v>
      </x:c>
    </x:row>
    <x:row r="111" ht="120" customHeight="1">
      <x:c r="A111" s="24" t="str">
        <x:v>T102</x:v>
      </x:c>
      <x:c r="B111" s="24" t="str">
        <x:v>Apoidea</x:v>
      </x:c>
      <x:c r="C111" s="24" t="str">
        <x:v>金融文档AI/NLP</x:v>
      </x:c>
      <x:c r="D111" s="24" t="str">
        <x:v>软件后端/数据科学（观察）</x:v>
      </x:c>
      <x:c r="E111" s="24" t="str">
        <x:v>AI/Agent/软件</x:v>
      </x:c>
      <x:c r="F111" s="24" t="str">
        <x:v>P2 观察</x:v>
      </x:c>
      <x:c r="G111" s="24" t="str">
        <x:v>公司及高校雇主招聘资料可核；当前香港2027毕业生岗位未确认。</x:v>
      </x:c>
      <x:c r="H111" s="25"/>
      <x:c r="I111" s="24" t="str">
        <x:v>2026-10-13未核到明确雇主截止；留空不表示滚动招聘。</x:v>
      </x:c>
      <x:c r="J111" s="24" t="str">
        <x:v>旧高校PDF只证明历史岗位；官网本轮不可读取，不能据此宣称在招。</x:v>
      </x:c>
      <x:c r="K111" s="24" t="str">
        <x:v>2027到岗待雇主确认</x:v>
      </x:c>
      <x:c r="L111" s="24" t="str">
        <x:v>核实最新香港技术职位及官方申请通道后再投。</x:v>
      </x:c>
      <x:c r="M111" s="26" t="str">
        <x:v>https://hk.linkedin.com/company/apoidea-ai</x:v>
      </x:c>
      <x:c r="N111" s="24"/>
      <x:c r="O111" s="24" t="str">
        <x:v>同类扩展；公司官网https://www.apoidea.ai 本轮读取受限；旧高校岗位：https://www.cityu.edu.hk/ceng/sites/g/files/asqsls3426/files/media-document/48-Apoidea%20-%20Software%20Engineer%20%28Back-end%29.pdf</x:v>
      </x:c>
      <x:c r="P111" s="24" t="str">
        <x:f>IF(H111="","",H111-'申请追踪'!$B$3)</x:f>
      </x:c>
      <x:c r="Q111" s="25" t="d">
        <x:v>2026-10-13T00:00:00.000Z</x:v>
      </x:c>
    </x:row>
    <x:row r="112" ht="120" customHeight="1">
      <x:c r="A112" s="24" t="str">
        <x:v>T103</x:v>
      </x:c>
      <x:c r="B112" s="24" t="str">
        <x:v>Dayta AI</x:v>
      </x:c>
      <x:c r="C112" s="24" t="str">
        <x:v>智慧零售/计算机视觉</x:v>
      </x:c>
      <x:c r="D112" s="24" t="str">
        <x:v>香港软件/数据工程（观察）</x:v>
      </x:c>
      <x:c r="E112" s="24" t="str">
        <x:v>AI/Agent/软件</x:v>
      </x:c>
      <x:c r="F112" s="24" t="str">
        <x:v>P2 等新岗位</x:v>
      </x:c>
      <x:c r="G112" s="24" t="str">
        <x:v>官网有Join Our Team；核到Junior Software Engineer旧广告已关闭。</x:v>
      </x:c>
      <x:c r="H112" s="25"/>
      <x:c r="I112" s="24" t="str">
        <x:v>2026-10-13未核到明确雇主截止；留空不表示滚动招聘。</x:v>
      </x:c>
      <x:c r="J112" s="24" t="str">
        <x:v>旧岗Python/Go、SQL、Tableau方向；不代表当前FG岗位或2027到岗。</x:v>
      </x:c>
      <x:c r="K112" s="24" t="str">
        <x:v>2027到岗待雇主确认</x:v>
      </x:c>
      <x:c r="L112" s="24" t="str">
        <x:v>通过官方团队入口跟进新香港junior岗。</x:v>
      </x:c>
      <x:c r="M112" s="26" t="str">
        <x:v>https://www.dayta.ai/about-us</x:v>
      </x:c>
      <x:c r="N112" s="24"/>
      <x:c r="O112" s="24" t="str">
        <x:v>同类扩展；旧岗排除依据：https://hk.linkedin.com/jobs/view/software-engineer-at-dayta-ai-4147291622；区别于Day AI及Daita同名公司。</x:v>
      </x:c>
      <x:c r="P112" s="24" t="str">
        <x:f>IF(H112="","",H112-'申请追踪'!$B$3)</x:f>
      </x:c>
      <x:c r="Q112" s="25" t="d">
        <x:v>2026-10-13T00:00:00.000Z</x:v>
      </x:c>
    </x:row>
    <x:row r="113" ht="120" customHeight="1">
      <x:c r="A113" s="24" t="str">
        <x:v>T104</x:v>
      </x:c>
      <x:c r="B113" s="24" t="str">
        <x:v>Pantheon Lab</x:v>
      </x:c>
      <x:c r="C113" s="24" t="str">
        <x:v>生成式AI/虚拟人</x:v>
      </x:c>
      <x:c r="D113" s="24" t="str">
        <x:v>AI Engineer (LLM/Chatbot)</x:v>
      </x:c>
      <x:c r="E113" s="24" t="str">
        <x:v>AI/Agent/软件</x:v>
      </x:c>
      <x:c r="F113" s="24" t="str">
        <x:v>P2 年限不符</x:v>
      </x:c>
      <x:c r="G113" s="24" t="str">
        <x:v>雇主香港职位页可见Apply；技术涉及RAG、模型部署与LLM服务。</x:v>
      </x:c>
      <x:c r="H113" s="25"/>
      <x:c r="I113" s="24" t="str">
        <x:v>2026-10-13未核到明确雇主截止；留空不表示滚动招聘。</x:v>
      </x:c>
      <x:c r="J113" s="24" t="str">
        <x:v>明确要求2年以上LLM应用/Chatbot经验及生产系统经历，不是明确FG；2027到岗未知。</x:v>
      </x:c>
      <x:c r="K113" s="24" t="str">
        <x:v>2027到岗待雇主确认</x:v>
      </x:c>
      <x:c r="L113" s="24" t="str">
        <x:v>作为方向相关雇主观察，优先等junior/graduate职位。</x:v>
      </x:c>
      <x:c r="M113" s="26" t="str">
        <x:v>https://hk.linkedin.com/jobs/view/ai-engineer-llm-chatbot-at-pantheon-lab-limited-4444897383</x:v>
      </x:c>
      <x:c r="N113" s="24"/>
      <x:c r="O113" s="24" t="str">
        <x:v>同类扩展；当前职位匹配技术方向，但不因Entry平台标签忽略正文年限要求。</x:v>
      </x:c>
      <x:c r="P113" s="24" t="str">
        <x:f>IF(H113="","",H113-'申请追踪'!$B$3)</x:f>
      </x:c>
      <x:c r="Q113" s="25" t="d">
        <x:v>2026-10-13T00:00:00.000Z</x:v>
      </x:c>
    </x:row>
  </x:sheetData>
  <x:conditionalFormatting sqref="G10:G57">
    <x:cfRule type="containsText" dxfId="2" priority="1" operator="containsText" text="已填满"/>
  </x:conditionalFormatting>
  <x:conditionalFormatting sqref="F10:F57">
    <x:cfRule type="containsText" dxfId="3" priority="2" operator="containsText" text="P0"/>
  </x:conditionalFormatting>
  <x:pageMargins left="0.7" right="0.7" top="0.75" bottom="0.75" header="0.3" footer="0.3"/>
  <x:tableParts count="1">
    <x:tablePart xmlns:r="http://schemas.openxmlformats.org/officeDocument/2006/relationships" r:id="R3932c83902e74190"/>
  </x:tableParts>
</x:worksheet>
</file>

<file path=xl/worksheets/sheet3.xml><?xml version="1.0" encoding="utf-8"?>
<x:worksheet xmlns:x="http://schemas.openxmlformats.org/spreadsheetml/2006/main">
  <x:sheetPr>
    <x:tabColor rgb="FF7A899B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36" hidden="0" customWidth="1"/>
    <x:col min="3" max="3" width="70" hidden="0" customWidth="1"/>
    <x:col min="4" max="4" width="66" hidden="0" customWidth="1"/>
    <x:col min="5" max="5" width="18" hidden="0" customWidth="1"/>
    <x:col min="6" max="6" width="18" hidden="0" customWidth="1"/>
  </x:cols>
  <x:sheetData>
    <x:row r="1">
      <x:c r="A1" s="2"/>
      <x:c r="B1" s="2"/>
      <x:c r="C1" s="2"/>
      <x:c r="D1" s="2"/>
      <x:c r="E1" s="2"/>
      <x:c r="F1" s="2"/>
    </x:row>
    <x:row r="2" ht="28" customHeight="1">
      <x:c r="A2" s="3" t="str">
        <x:v>求职定位与本周行动</x:v>
      </x:c>
      <x:c r="B2" s="2"/>
      <x:c r="C2" s="2"/>
      <x:c r="D2" s="2"/>
      <x:c r="E2" s="2"/>
      <x:c r="F2" s="2"/>
    </x:row>
    <x:row r="3">
      <x:c r="A3" s="2"/>
      <x:c r="B3" s="2"/>
      <x:c r="C3" s="2"/>
      <x:c r="D3" s="2"/>
      <x:c r="E3" s="2"/>
      <x:c r="F3" s="2"/>
    </x:row>
    <x:row r="4" ht="32" customHeight="1">
      <x:c r="A4" s="10" t="str">
        <x:v>模块</x:v>
      </x:c>
      <x:c r="B4" s="10" t="str">
        <x:v>结论/任务</x:v>
      </x:c>
      <x:c r="C4" s="10" t="str">
        <x:v>依据或具体做法</x:v>
      </x:c>
      <x:c r="D4" s="10" t="str">
        <x:v>限制/完成标准</x:v>
      </x:c>
      <x:c r="E4" s="10" t="str">
        <x:v>建议完成日</x:v>
      </x:c>
      <x:c r="F4" s="10" t="str">
        <x:v>状态</x:v>
      </x:c>
    </x:row>
    <x:row r="5" ht="72" customHeight="1">
      <x:c r="A5" s="11" t="str">
        <x:v>定位</x:v>
      </x:c>
      <x:c r="B5" s="11" t="str">
        <x:v>2027届、香港全职</x:v>
      </x:c>
      <x:c r="C5" s="11" t="str">
        <x:v>简历：HKU Data Science 2025.09-2027.03。本科2025.06毕业。</x:v>
      </x:c>
      <x:c r="D5" s="11" t="str">
        <x:v>确认3月是完成课程、正式毕业还是可全职日期。</x:v>
      </x:c>
      <x:c r="E5" s="17"/>
      <x:c r="F5" s="12" t="str">
        <x:v>待确认</x:v>
      </x:c>
    </x:row>
    <x:row r="6" ht="72" customHeight="1">
      <x:c r="A6" s="11" t="str">
        <x:v>主线</x:v>
      </x:c>
      <x:c r="B6" s="11" t="str">
        <x:v>优先企业IT / Human Capital Graduate Trainee</x:v>
      </x:c>
      <x:c r="C6" s="11" t="str">
        <x:v>大型企业及外企优先；AI/软件背景用于IT及HR流程数字化。HR需解释职业动机，不能只写技术。</x:v>
      </x:c>
      <x:c r="D6" s="11" t="str">
        <x:v>不只搜MT；同时搜Graduate Engineer、Associate、Junior和Research Engineer。</x:v>
      </x:c>
      <x:c r="E6" s="17"/>
      <x:c r="F6" s="12" t="str">
        <x:v>建议执行</x:v>
      </x:c>
    </x:row>
    <x:row r="7" ht="72" customHeight="1">
      <x:c r="A7" s="11" t="str">
        <x:v>投递结构</x:v>
      </x:c>
      <x:c r="B7" s="11" t="str">
        <x:v>主投企业GT；咨询减少投入</x:v>
      </x:c>
      <x:c r="C7" s="11" t="str">
        <x:v>近期先DB HR、港铁HRA、Lenovo、马会、HKTV People；OOCL/Hactl/永隆技术GT并行。</x:v>
      </x:c>
      <x:c r="D7" s="11" t="str">
        <x:v>不按公司名气推定有无机会；本轮按用户选择分配时间。</x:v>
      </x:c>
      <x:c r="E7" s="17"/>
      <x:c r="F7" s="12" t="str">
        <x:v>建议执行</x:v>
      </x:c>
    </x:row>
    <x:row r="8" ht="72" customHeight="1">
      <x:c r="A8" s="11" t="str">
        <x:v>现状</x:v>
      </x:c>
      <x:c r="B8" s="11" t="str">
        <x:v>6家已投、2家测试完成、未报告面试通知</x:v>
      </x:c>
      <x:c r="C8" s="11" t="str">
        <x:v>Tiger Trade于10/11新增已投；国泰/ASTRI/HKEX待回复；HSBC及UBS测试完成。</x:v>
      </x:c>
      <x:c r="D8" s="11" t="str">
        <x:v>没有提交/测试日期，无法判断等待是否异常；自动OT不等于通过筛选。</x:v>
      </x:c>
      <x:c r="E8" s="17"/>
      <x:c r="F8" s="12" t="str">
        <x:v>已记录</x:v>
      </x:c>
    </x:row>
    <x:row r="9" ht="72" customHeight="1">
      <x:c r="A9" s="11" t="str">
        <x:v>简历A</x:v>
      </x:c>
      <x:c r="B9" s="11" t="str">
        <x:v>AI/工程版</x:v>
      </x:c>
      <x:c r="C9" s="11" t="str">
        <x:v>教育 → 技能 → 实习 → 精选论文/项目。重点Amber与NOVOAI的职责、实现和结果。</x:v>
      </x:c>
      <x:c r="D9" s="11" t="str">
        <x:v>仅列真实熟练技术；补Python、SQL、PyTorch、API、Git及实际使用的云/部署技术。</x:v>
      </x:c>
      <x:c r="E9" s="17" t="d">
        <x:v>2026-10-11T00:00:00.000Z</x:v>
      </x:c>
      <x:c r="F9" s="12" t="str">
        <x:v>待做</x:v>
      </x:c>
    </x:row>
    <x:row r="10" ht="72" customHeight="1">
      <x:c r="A10" s="11" t="str">
        <x:v>简历B</x:v>
      </x:c>
      <x:c r="B10" s="11" t="str">
        <x:v>企业IT/技术咨询版</x:v>
      </x:c>
      <x:c r="C10" s="11" t="str">
        <x:v>强调系统开发、交付质量、测试部署、客户需求与跨团队协作；保留2-3项相关论文。</x:v>
      </x:c>
      <x:c r="D10" s="11" t="str">
        <x:v>不要将使用者200+写成活跃用户，除非有使用数据支持。</x:v>
      </x:c>
      <x:c r="E10" s="17" t="d">
        <x:v>2026-10-11T00:00:00.000Z</x:v>
      </x:c>
      <x:c r="F10" s="12" t="str">
        <x:v>待做</x:v>
      </x:c>
    </x:row>
    <x:row r="11" ht="72" customHeight="1">
      <x:c r="A11" s="11" t="str">
        <x:v>修改</x:v>
      </x:c>
      <x:c r="B11" s="11" t="str">
        <x:v>删除不相关的投资/钱包展示</x:v>
      </x:c>
      <x:c r="C11" s="11" t="str">
        <x:v>银行、大企业与咨询版删除E/ACC、私人投资轮次和ENS交易次数。</x:v>
      </x:c>
      <x:c r="D11" s="11" t="str">
        <x:v>申请Web3时可留相关开发/技术事实，投资经历不替代工程成果。</x:v>
      </x:c>
      <x:c r="E11" s="17" t="d">
        <x:v>2026-10-11T00:00:00.000Z</x:v>
      </x:c>
      <x:c r="F11" s="12" t="str">
        <x:v>待做</x:v>
      </x:c>
    </x:row>
    <x:row r="12" ht="72" customHeight="1">
      <x:c r="A12" s="11" t="str">
        <x:v>修改</x:v>
      </x:c>
      <x:c r="B12" s="11" t="str">
        <x:v>补工程能力与量化成果</x:v>
      </x:c>
      <x:c r="C12" s="11" t="str">
        <x:v>写清Agent执行状态、失败恢复、工具调用、权限、评估方法；补节省时间/成功率/成本等真实指标。</x:v>
      </x:c>
      <x:c r="D12" s="11" t="str">
        <x:v>未测量的指标留空，不编数字；使用公司内部资料前注意保密。</x:v>
      </x:c>
      <x:c r="E12" s="17" t="d">
        <x:v>2026-10-11T00:00:00.000Z</x:v>
      </x:c>
      <x:c r="F12" s="12" t="str">
        <x:v>待做</x:v>
      </x:c>
    </x:row>
    <x:row r="13" ht="72" customHeight="1">
      <x:c r="A13" s="11" t="str">
        <x:v>修改</x:v>
      </x:c>
      <x:c r="B13" s="11" t="str">
        <x:v>修英文与排版</x:v>
      </x:c>
      <x:c r="C13" s="11" t="str">
        <x:v>Trustwrothy → Trustworthy；Bouns → Skills；transformation.s → transformation；Healthy Area需改为实际保险/医疗场景。</x:v>
      </x:c>
      <x:c r="D13" s="11" t="str">
        <x:v>避免agents、coordinated单词中间断行；统一时态、标点和公司法律主体。</x:v>
      </x:c>
      <x:c r="E13" s="17" t="d">
        <x:v>2026-10-11T00:00:00.000Z</x:v>
      </x:c>
      <x:c r="F13" s="12" t="str">
        <x:v>待做</x:v>
      </x:c>
    </x:row>
    <x:row r="14" ht="72" customHeight="1">
      <x:c r="A14" s="11" t="str">
        <x:v>修改</x:v>
      </x:c>
      <x:c r="B14" s="11" t="str">
        <x:v>论文状态准确</x:v>
      </x:c>
      <x:c r="C14" s="11" t="str">
        <x:v>区分Published/Accepted/Under review/Work in progress；清楚标作者位次和可访问链接。</x:v>
      </x:c>
      <x:c r="D14" s="11" t="str">
        <x:v>Upcoming不能让人误以为已录用；本次未外部核验论文录用状态。</x:v>
      </x:c>
      <x:c r="E14" s="17" t="d">
        <x:v>2026-10-11T00:00:00.000Z</x:v>
      </x:c>
      <x:c r="F14" s="12" t="str">
        <x:v>待做</x:v>
      </x:c>
    </x:row>
    <x:row r="15" ht="72" customHeight="1">
      <x:c r="A15" s="11" t="str">
        <x:v>修改</x:v>
      </x:c>
      <x:c r="B15" s="11" t="str">
        <x:v>工作权措辞准确</x:v>
      </x:c>
      <x:c r="C15" s="11" t="str">
        <x:v>若尚未获IANG，表达预计毕业后符合申请资格；同时写预计毕业和可到岗日期。</x:v>
      </x:c>
      <x:c r="D15" s="11" t="str">
        <x:v>IANG eligible不等于目前持有无限制全职工作权；表单按真实签证填写。</x:v>
      </x:c>
      <x:c r="E15" s="17" t="d">
        <x:v>2026-10-11T00:00:00.000Z</x:v>
      </x:c>
      <x:c r="F15" s="12" t="str">
        <x:v>待确认</x:v>
      </x:c>
    </x:row>
    <x:row r="16" ht="72" customHeight="1">
      <x:c r="A16" s="11" t="str">
        <x:v>不投决定</x:v>
      </x:c>
      <x:c r="B16" s="11" t="str">
        <x:v>BOCHK、Mastercard、BlackRock</x:v>
      </x:c>
      <x:c r="C16" s="11" t="str">
        <x:v>已按用户要求标记不投，移出待投统计，并停止提醒。</x:v>
      </x:c>
      <x:c r="D16" s="11" t="str">
        <x:v>用户判断分别为HR方向、偏统计分析、投入产出不合适；不是招聘方拒绝。</x:v>
      </x:c>
      <x:c r="E16" s="17" t="d">
        <x:v>2026-10-10T00:00:00.000Z</x:v>
      </x:c>
      <x:c r="F16" s="12" t="str">
        <x:v>已处理</x:v>
      </x:c>
    </x:row>
    <x:row r="17" ht="72" customHeight="1">
      <x:c r="A17" s="11" t="str">
        <x:v>主投安排</x:v>
      </x:c>
      <x:c r="B17" s="11" t="str">
        <x:v>按雇主与岗位01–12推进</x:v>
      </x:c>
      <x:c r="C17" s="11" t="str">
        <x:v>10/12–10/16：DB HR、港铁HRA、Lenovo、OOCL；核实马会/HKTV及Hactl/永隆到岗。</x:v>
      </x:c>
      <x:c r="D17" s="11" t="str">
        <x:v>候选清单不等于已申请；仅在你确认提交后更新状态。</x:v>
      </x:c>
      <x:c r="E17" s="17" t="d">
        <x:v>2026-10-12T00:00:00.000Z</x:v>
      </x:c>
      <x:c r="F17" s="12" t="str">
        <x:v>待做</x:v>
      </x:c>
    </x:row>
    <x:row r="18" ht="72" customHeight="1">
      <x:c r="A18" s="11" t="str">
        <x:v>一周目标</x:v>
      </x:c>
      <x:c r="B18" s="11" t="str">
        <x:v>10月16日前推进6–8项申请或资格核实</x:v>
      </x:c>
      <x:c r="C18" s="11" t="str">
        <x:v>Human Capital用流程改善、沟通、协作实例；企业IT用系统交付。咨询暂作备选。</x:v>
      </x:c>
      <x:c r="D18" s="11" t="str">
        <x:v>岗位接受2027.03后到岗、粤语和签证条件要逐项核实。</x:v>
      </x:c>
      <x:c r="E18" s="17" t="d">
        <x:v>2026-10-16T00:00:00.000Z</x:v>
      </x:c>
      <x:c r="F18" s="12" t="str">
        <x:v>待做</x:v>
      </x:c>
    </x:row>
    <x:row r="19" ht="72" customHeight="1">
      <x:c r="A19" s="11" t="str">
        <x:v>内部机会</x:v>
      </x:c>
      <x:c r="B19" s="11" t="str">
        <x:v>主动了解Amber转正及NOVOAI回聘</x:v>
      </x:c>
      <x:c r="C19" s="11" t="str">
        <x:v>你已有长期项目交付记录，可询问headcount、转正标准和毕业入职。</x:v>
      </x:c>
      <x:c r="D19" s="11" t="str">
        <x:v>本表不代表对方存在名额；未替你联系任何人。</x:v>
      </x:c>
      <x:c r="E19" s="17" t="d">
        <x:v>2026-10-12T00:00:00.000Z</x:v>
      </x:c>
      <x:c r="F19" s="12" t="str">
        <x:v>待做</x:v>
      </x:c>
    </x:row>
    <x:row r="20" ht="72" customHeight="1">
      <x:c r="A20" s="11" t="str">
        <x:v>准备</x:v>
      </x:c>
      <x:c r="B20" s="11" t="str">
        <x:v>每天练习编码和SQL；每周模拟项目面试</x:v>
      </x:c>
      <x:c r="C20" s="11" t="str">
        <x:v>准备60秒自我介绍、3分钟Agent项目、系统设计、失败案例与6个STAR故事。</x:v>
      </x:c>
      <x:c r="D20" s="11" t="str">
        <x:v>优先能解释自己的代码、评估和业务价值；GT补商业案例/群面。</x:v>
      </x:c>
      <x:c r="E20" s="17" t="d">
        <x:v>2026-10-16T00:00:00.000Z</x:v>
      </x:c>
      <x:c r="F20" s="12" t="str">
        <x:v>待做</x:v>
      </x:c>
    </x:row>
    <x:row r="21" ht="72" customHeight="1">
      <x:c r="A21" s="11" t="str">
        <x:v>跟进原则</x:v>
      </x:c>
      <x:c r="B21" s="11" t="str">
        <x:v>先补真实时间，再决定是否跟进</x:v>
      </x:c>
      <x:c r="C21" s="11" t="str">
        <x:v>企业给出时间线时按其安排。无时间线可在测试后约10个工作日复查并考虑一次礼貌询问。</x:v>
      </x:c>
      <x:c r="D21" s="11" t="str">
        <x:v>这是个人流程建议，不是所有雇主服务承诺；不要频繁催促。</x:v>
      </x:c>
      <x:c r="E21" s="17"/>
      <x:c r="F21" s="12" t="str">
        <x:v>建议执行</x:v>
      </x:c>
    </x:row>
    <x:row r="22" ht="72" customHeight="1">
      <x:c r="A22" s="11" t="str">
        <x:v>下一轮诊断</x:v>
      </x:c>
      <x:c r="B22" s="11" t="str">
        <x:v>3-4周后看漏斗</x:v>
      </x:c>
      <x:c r="C22" s="11" t="str">
        <x:v>申请→测试→面试→终面→Offer。约20-30份高匹配申请仍少面试时，检查资格、简历与渠道。</x:v>
      </x:c>
      <x:c r="D22" s="11" t="str">
        <x:v>不能只看OT数量，也不以几天无回复判拒绝。</x:v>
      </x:c>
      <x:c r="E22" s="17"/>
      <x:c r="F22" s="12" t="str">
        <x:v>建议执行</x:v>
      </x:c>
    </x:row>
    <x:row r="23" ht="72" customHeight="1">
      <x:c r="A23" s="11" t="str">
        <x:v>待补信息</x:v>
      </x:c>
      <x:c r="B23" s="11" t="str">
        <x:v>岗位与日期、GPA、粤语、到岗</x:v>
      </x:c>
      <x:c r="C23" s="11" t="str">
        <x:v>补各家具体岗位及投递/测试日期；HKU及本科GPA；粤语水平；最早合法全职时间；最低薪资目标。UBC已确认是UBS。</x:v>
      </x:c>
      <x:c r="D23" s="11" t="str">
        <x:v>Tiger Trade提交日为2026-10-11；其余未知日期不推定。所有资格按真实情况填写。</x:v>
      </x:c>
      <x:c r="E23" s="17"/>
      <x:c r="F23" s="12" t="str">
        <x:v>待确认</x:v>
      </x:c>
    </x:row>
    <x:row r="24" ht="72" customHeight="1">
      <x:c r="A24" s="11" t="str">
        <x:v>来源</x:v>
      </x:c>
      <x:c r="B24" s="11" t="str">
        <x:v>简历与用户本轮状态</x:v>
      </x:c>
      <x:c r="C24" s="11" t="str">
        <x:v>resume.pdf，2026-10-09上传版本；用户本轮说明。公开职位出处见雇主与岗位每行链接。</x:v>
      </x:c>
      <x:c r="D24" s="11" t="str">
        <x:v>不将个人推断标为招聘方事实。</x:v>
      </x:c>
      <x:c r="E24" s="17"/>
      <x:c r="F24" s="12" t="str">
        <x:v>已记录</x:v>
      </x:c>
    </x:row>
    <x:row r="25" ht="72" customHeight="1">
      <x:c r="A25" s="11" t="str">
        <x:v>IANG来源</x:v>
      </x:c>
      <x:c r="B25" s="11" t="str">
        <x:v>香港入境事务处</x:v>
      </x:c>
      <x:c r="C25" s="11" t="str">
        <x:v>https://www.immd.gov.hk/eng/services/visas/IANG.html</x:v>
      </x:c>
      <x:c r="D25" s="11" t="str">
        <x:v>符合条件的应届非本地毕业生毕业后6个月内申请无需预先获聘；须获批，不能等同已持签证。</x:v>
      </x:c>
      <x:c r="E25" s="17"/>
      <x:c r="F25" s="12" t="str">
        <x:v>已核实</x:v>
      </x:c>
    </x:row>
    <x:row r="26" ht="100" customHeight="1">
      <x:c r="A26" s="11" t="str">
        <x:v>10/11扩展候选池</x:v>
      </x:c>
      <x:c r="B26" s="11" t="str">
        <x:v>新增27项，合计89条雇主/岗位记录</x:v>
      </x:c>
      <x:c r="C26" s="11" t="str">
        <x:v>按用户要求覆盖AI、芯片、硬件、机器人、电信、数字资产及金融；PCCW/Lenovo/China Unicom沿用原条目。</x:v>
      </x:c>
      <x:c r="D26" s="11" t="str">
        <x:v>6家已投状态不变；新增均为未投候选。香港、2027、FG及截止分别核实；优先Eclipse、Binance、CMHK、ICO。</x:v>
      </x:c>
      <x:c r="E26" s="17" t="d">
        <x:v>2026-10-11T00:00:00.000Z</x:v>
      </x:c>
      <x:c r="F26" s="12" t="str">
        <x:v>已录入；部分待核</x:v>
      </x:c>
    </x:row>
    <x:row r="27" ht="110" customHeight="1">
      <x:c r="A27" s="11" t="str">
        <x:v>10/13 AI/Agent名单</x:v>
      </x:c>
      <x:c r="B27" s="11" t="str">
        <x:v>图片9家公司已覆盖；新增15项、合计104条</x:v>
      </x:c>
      <x:c r="C27" s="11" t="str">
        <x:v>7家图片新公司+8家同类扩展；WeLab/ZA更新原条目。优先Set Sail、Oursky；CHAIN先核新职位。</x:v>
      </x:c>
      <x:c r="D27" s="11" t="str">
        <x:v>截图的梯队不作为录取难度事实；2027到岗需单独确认。EcoRetail先核主体。旧记录以各行核验日为准。</x:v>
      </x:c>
      <x:c r="E27" s="17" t="d">
        <x:v>2026-10-13T00:00:00.000Z</x:v>
      </x:c>
      <x:c r="F27" s="12" t="str">
        <x:v>已录入并分级</x:v>
      </x:c>
    </x:row>
    <x:row r="28">
      <x:c r="A28" s="2"/>
      <x:c r="B28" s="2"/>
      <x:c r="C28" s="2"/>
      <x:c r="D28" s="2"/>
      <x:c r="E28" s="2"/>
      <x:c r="F28" s="2"/>
    </x:row>
    <x:row r="29">
      <x:c r="A29" s="2"/>
      <x:c r="B29" s="2"/>
      <x:c r="C29" s="2"/>
      <x:c r="D29" s="2"/>
      <x:c r="E29" s="2"/>
      <x:c r="F29" s="2"/>
    </x:row>
    <x:row r="30">
      <x:c r="A30" s="2"/>
      <x:c r="B30" s="2"/>
      <x:c r="C30" s="2"/>
      <x:c r="D30" s="2"/>
      <x:c r="E30" s="2"/>
      <x:c r="F30" s="2"/>
    </x:row>
    <x:row r="31">
      <x:c r="A31" s="2"/>
      <x:c r="B31" s="2"/>
      <x:c r="C31" s="2"/>
      <x:c r="D31" s="2"/>
      <x:c r="E31" s="2"/>
      <x:c r="F31" s="2"/>
    </x:row>
  </x:sheetData>
  <x:dataValidations count="1">
    <x:dataValidation type="list" sqref="F5:F25">
      <x:formula1>"待做,待确认,建议执行,已记录,已核实,已完成"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65" hidden="0" customWidth="1"/>
    <x:col min="3" max="3" width="58" hidden="0" customWidth="1"/>
    <x:col min="4" max="4" width="68" hidden="0" customWidth="1"/>
  </x:cols>
  <x:sheetData>
    <x:row r="1" ht="40" customHeight="1">
      <x:c r="A1" s="35" t="str">
        <x:v>OOCL 2027 IT Graduate Trainee｜申请核对</x:v>
      </x:c>
      <x:c r="B1" s="35"/>
      <x:c r="C1" s="35"/>
      <x:c r="D1" s="35"/>
    </x:row>
    <x:row r="2" ht="30" customHeight="1">
      <x:c r="A2" s="33" t="str">
        <x:v>核验：2026-10-10 香港时间｜目前未发送申请｜官方要求与个人建议分开记录</x:v>
      </x:c>
      <x:c r="B2" s="33"/>
      <x:c r="C2" s="33"/>
      <x:c r="D2" s="33"/>
    </x:row>
    <x:row r="3">
      <x:c r="A3" s="33"/>
      <x:c r="B3" s="33"/>
      <x:c r="C3" s="33"/>
      <x:c r="D3" s="33"/>
    </x:row>
    <x:row r="4" ht="30" customHeight="1">
      <x:c r="A4" s="37" t="str">
        <x:v>项目</x:v>
      </x:c>
      <x:c r="B4" s="37" t="str">
        <x:v>已核实内容 / 建议</x:v>
      </x:c>
      <x:c r="C4" s="37" t="str">
        <x:v>下一步</x:v>
      </x:c>
      <x:c r="D4" s="37" t="str">
        <x:v>来源 / 性质</x:v>
      </x:c>
    </x:row>
    <x:row r="5" ht="100" customHeight="1">
      <x:c r="A5" s="38" t="str">
        <x:v>申请渠道</x:v>
      </x:c>
      <x:c r="B5" s="38" t="str">
        <x:v>IT专页明确列出 ITAPPLY@OOCL.COM</x:v>
      </x:c>
      <x:c r="C5" s="38" t="str">
        <x:v>使用自己的求职邮箱发送，并保留已发送邮件</x:v>
      </x:c>
      <x:c r="D5" s="38" t="str">
        <x:v>官方：https://www.oocl.com/eng/aboutoocl/ooclcareer/jobopportunity/Pages/ITGraduateTrainee.aspx</x:v>
      </x:c>
    </x:row>
    <x:row r="6" ht="100" customHeight="1">
      <x:c r="A6" s="33" t="str">
        <x:v>官方必需附件</x:v>
      </x:c>
      <x:c r="B6" s="33" t="str">
        <x:v>Detailed resume + copies of latest transcript</x:v>
      </x:c>
      <x:c r="C6" s="33" t="str">
        <x:v>准备英文CV、HKU最新成绩单；本科成绩单可一并提供（建议）</x:v>
      </x:c>
      <x:c r="D6" s="33" t="str">
        <x:v>官方2027 FAQ：https://www.oocl.com/eng/aboutoocl/ooclcareer/careersatoocl/Documents/Career/index.aspx</x:v>
      </x:c>
    </x:row>
    <x:row r="7" ht="100" customHeight="1">
      <x:c r="A7" s="38" t="str">
        <x:v>截止日期</x:v>
      </x:c>
      <x:c r="B7" s="38" t="str">
        <x:v>IT FAQ只写“by the application deadline”，本次可读正文未给具体日期</x:v>
      </x:c>
      <x:c r="C7" s="38" t="str">
        <x:v>尽早申请；可在邮件中请HR确认IT批次截止；不把12/31当IT期限</x:v>
      </x:c>
      <x:c r="D7" s="38" t="str">
        <x:v>官方：12/31/2026明确属于Management Trainee网上申请</x:v>
      </x:c>
    </x:row>
    <x:row r="8" ht="100" customHeight="1">
      <x:c r="A8" s="33" t="str">
        <x:v>项目与方向</x:v>
      </x:c>
      <x:c r="B8" s="33" t="str">
        <x:v>IT项目列Business Analyst、Data Analyst、Technical Analyst、Data Scientist发展方向</x:v>
      </x:c>
      <x:c r="C8" s="33" t="str">
        <x:v>建议表达Technical Analyst/软件与AI系统偏好；不能保证分流</x:v>
      </x:c>
      <x:c r="D8" s="33" t="str">
        <x:v>官方IT专页；推荐基于你AI/Agent及全栈经历</x:v>
      </x:c>
    </x:row>
    <x:row r="9" ht="100" customHeight="1">
      <x:c r="A9" s="38" t="str">
        <x:v>资格与到岗</x:v>
      </x:c>
      <x:c r="B9" s="38" t="str">
        <x:v>2027 FAQ：本科或以上；欢迎非香港永久居民；预计2027年中开始</x:v>
      </x:c>
      <x:c r="C9" s="38" t="str">
        <x:v>写预计2027.03毕业及真实可全职日期；工作权按实际状态</x:v>
      </x:c>
      <x:c r="D9" s="38" t="str">
        <x:v>官方FAQ；非永久居民可申请不等于无条件签证担保</x:v>
      </x:c>
    </x:row>
    <x:row r="10" ht="100" customHeight="1">
      <x:c r="A10" s="33" t="str">
        <x:v>材料建议</x:v>
      </x:c>
      <x:c r="B10" s="33" t="str">
        <x:v>Gu_Xiang_CV_OOCL_ITGT_2027.pdf；Gu_Xiang_HKU_Transcript.pdf；本科成绩单（可选补充）</x:v>
      </x:c>
      <x:c r="C10" s="33" t="str">
        <x:v>发送前确认姓名、联系方式、PDF能打开及附件齐全</x:v>
      </x:c>
      <x:c r="D10" s="33" t="str">
        <x:v>建议文件名；不是官方规定</x:v>
      </x:c>
    </x:row>
    <x:row r="11" ht="100" customHeight="1">
      <x:c r="A11" s="38" t="str">
        <x:v>建议邮件主题</x:v>
      </x:c>
      <x:c r="B11" s="38" t="str">
        <x:v>Application for 2027 IT Graduate Trainee – Gu Xiang</x:v>
      </x:c>
      <x:c r="C11" s="38" t="str">
        <x:v>正文写项目名称、HKU DS、毕业日期、技术偏好及2项相关成果</x:v>
      </x:c>
      <x:c r="D11" s="38" t="str">
        <x:v>建议主题；网页未规定固定主题格式</x:v>
      </x:c>
    </x:row>
    <x:row r="12" ht="100" customHeight="1">
      <x:c r="A12" s="33" t="str">
        <x:v>正文重点</x:v>
      </x:c>
      <x:c r="B12" s="33" t="str">
        <x:v>用企业Agent部署、保险LLM全栈说明如何交付可靠系统；简短解释对全球物流IT的兴趣</x:v>
      </x:c>
      <x:c r="C12" s="33" t="str">
        <x:v>附CV和成绩单；不要编造航运经验或技术熟练度</x:v>
      </x:c>
      <x:c r="D12" s="33" t="str">
        <x:v>基于简历的个人化建议</x:v>
      </x:c>
    </x:row>
    <x:row r="13" ht="100" customHeight="1">
      <x:c r="A13" s="38" t="str">
        <x:v>Cover letter / 其他</x:v>
      </x:c>
      <x:c r="B13" s="38" t="str">
        <x:v>本次可读官方正文未要求独立cover letter、照片、推荐信或身份证副本</x:v>
      </x:c>
      <x:c r="C13" s="38" t="str">
        <x:v>简洁邮件正文即可；未核实文件大小限制，不虚构要求</x:v>
      </x:c>
      <x:c r="D13" s="38" t="str">
        <x:v>仅说明本次读到的要求；正式HR通知优先</x:v>
      </x:c>
    </x:row>
    <x:row r="14" ht="100" customHeight="1">
      <x:c r="A14" s="33" t="str">
        <x:v>MT与IT区别</x:v>
      </x:c>
      <x:c r="B14" s="33" t="str">
        <x:v>MT通过网页申请，截止2026.12.31；IT通过邮件；允许申请多个项目但须分别提交</x:v>
      </x:c>
      <x:c r="C14" s="33" t="str">
        <x:v>本轮建议以IT为主，不用MT表单代替IT邮件</x:v>
      </x:c>
      <x:c r="D14" s="33" t="str">
        <x:v>官方2027 FAQ</x:v>
      </x:c>
    </x:row>
    <x:row r="15" ht="100" customHeight="1">
      <x:c r="A15" s="38" t="str">
        <x:v>回应与跟进</x:v>
      </x:c>
      <x:c r="B15" s="38" t="str">
        <x:v>FAQ称入围者会在2月前收到下一阶段邮件通知</x:v>
      </x:c>
      <x:c r="C15" s="38" t="str">
        <x:v>检查垃圾邮箱；发出后记录实际日期；无自动回执不等于拒绝</x:v>
      </x:c>
      <x:c r="D15" s="38" t="str">
        <x:v>官方FAQ；不据此承诺个人一定收到回复</x:v>
      </x:c>
    </x:row>
    <x:row r="16" ht="100" customHeight="1">
      <x:c r="A16" s="33" t="str">
        <x:v>本次阅读范围</x:v>
      </x:c>
      <x:c r="B16" s="33" t="str">
        <x:v>已阅读2027总览FAQ和IT专页正文；专页另含项目图，图片细节本次未能可靠读取</x:v>
      </x:c>
      <x:c r="C16" s="33" t="str">
        <x:v>未把图中不可核实的信息当作要求；附件/邮箱/渠道以上述正文为准</x:v>
      </x:c>
      <x:c r="D16" s="33" t="str">
        <x:v>透明记录；本表未执行电邮发送</x:v>
      </x:c>
    </x:row>
  </x:sheetData>
  <x:mergeCells>
    <x:mergeCell ref="A1:D1"/>
    <x:mergeCell ref="A2:D2"/>
  </x:mergeCells>
  <x:pageMargins left="0.7" right="0.7" top="0.75" bottom="0.75" header="0.3" footer="0.3"/>
</x:worksheet>
</file>